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4d1647c5e9b7f12b/Documentos/MAP/dissertacao/artigo2/"/>
    </mc:Choice>
  </mc:AlternateContent>
  <xr:revisionPtr revIDLastSave="2763" documentId="11_0A32A7F819A93C4FA496E06397DFF206895E8BAE" xr6:coauthVersionLast="47" xr6:coauthVersionMax="47" xr10:uidLastSave="{FC2316E1-F2D2-43DC-BB55-27B03477DF9A}"/>
  <bookViews>
    <workbookView xWindow="38595" yWindow="3285" windowWidth="14820" windowHeight="23445" firstSheet="12" activeTab="21" xr2:uid="{00000000-000D-0000-FFFF-FFFF00000000}"/>
  </bookViews>
  <sheets>
    <sheet name="afastamentos-do-pais-dos-2023" sheetId="1" r:id="rId1"/>
    <sheet name="afastamentos-do-pais-dos-2024" sheetId="2" r:id="rId2"/>
    <sheet name="candidatos-e-vagas-tecnico" sheetId="3" r:id="rId3"/>
    <sheet name="dados-abertos-projetos-extensao" sheetId="4" r:id="rId4"/>
    <sheet name="dados-abertos-extensao-convenio" sheetId="5" r:id="rId5"/>
    <sheet name="denuncias-apuradas-pela-correge" sheetId="6" r:id="rId6"/>
    <sheet name="cursos-tecnicos-ofertados" sheetId="7" r:id="rId7"/>
    <sheet name="cursos-de-graduacao-ofertados" sheetId="8" r:id="rId8"/>
    <sheet name="pos_graduacao_lato_sensu" sheetId="9" r:id="rId9"/>
    <sheet name="cursos_mestrado_2024" sheetId="10" r:id="rId10"/>
    <sheet name="candidatos-e-vagas-graducacao" sheetId="11" r:id="rId11"/>
    <sheet name="disciplinas-dos-cursos-de-grdua" sheetId="13" r:id="rId12"/>
    <sheet name="disciplinas-dos-cursos-tecnicos" sheetId="14" r:id="rId13"/>
    <sheet name="link-internet" sheetId="15" r:id="rId14"/>
    <sheet name="chamados-de-suporte" sheetId="16" r:id="rId15"/>
    <sheet name="matriculas-iniciais-nos-cursos-" sheetId="17" r:id="rId16"/>
    <sheet name="quantitativo-de-discentes-e-doc" sheetId="18" r:id="rId17"/>
    <sheet name="quantitativo-de-estudantes-com-" sheetId="19" r:id="rId18"/>
    <sheet name="certificados-e-declaracoes-parc" sheetId="20" r:id="rId19"/>
    <sheet name="divulgacoes-do-ifmg" sheetId="21" r:id="rId20"/>
    <sheet name="portarias-publicadas-pela-reito" sheetId="22" r:id="rId21"/>
    <sheet name="ResultadoFinal" sheetId="23"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1" i="23" l="1"/>
  <c r="H43" i="23"/>
  <c r="H44" i="23"/>
  <c r="H45" i="23"/>
  <c r="H46" i="23"/>
  <c r="H47" i="23"/>
  <c r="H48" i="23"/>
  <c r="H49" i="23"/>
  <c r="H50" i="23"/>
  <c r="H51" i="23"/>
  <c r="H52" i="23"/>
  <c r="H53" i="23"/>
  <c r="H54" i="23"/>
  <c r="H55" i="23"/>
  <c r="H56" i="23"/>
  <c r="H57" i="23"/>
  <c r="H58" i="23"/>
  <c r="H59" i="23"/>
  <c r="H60" i="23"/>
  <c r="H62" i="23"/>
  <c r="H63" i="23"/>
  <c r="H64" i="23"/>
  <c r="H65" i="23"/>
  <c r="H66" i="23"/>
  <c r="H67" i="23"/>
  <c r="H68" i="23"/>
  <c r="H42" i="23"/>
  <c r="H41" i="23"/>
  <c r="C45" i="23"/>
  <c r="C44" i="23"/>
  <c r="C43" i="23"/>
  <c r="C42" i="23"/>
  <c r="C41" i="23"/>
  <c r="H33" i="23"/>
  <c r="G3" i="16"/>
  <c r="G4" i="16"/>
  <c r="G5" i="16"/>
  <c r="G6" i="16"/>
  <c r="G7" i="16"/>
  <c r="G8" i="16"/>
  <c r="G9" i="16"/>
  <c r="G10" i="16"/>
  <c r="G11" i="16"/>
  <c r="G12" i="16"/>
  <c r="G13" i="16"/>
  <c r="G14" i="16"/>
  <c r="G15" i="16"/>
  <c r="G30" i="16" s="1"/>
  <c r="G31" i="16" s="1"/>
  <c r="G16" i="16"/>
  <c r="G17" i="16"/>
  <c r="G18" i="16"/>
  <c r="G19" i="16"/>
  <c r="G20" i="16"/>
  <c r="G21" i="16"/>
  <c r="G22" i="16"/>
  <c r="G23" i="16"/>
  <c r="G24" i="16"/>
  <c r="G25" i="16"/>
  <c r="G26" i="16"/>
  <c r="G27" i="16"/>
  <c r="G28" i="16"/>
  <c r="G29" i="16"/>
  <c r="G2" i="16"/>
  <c r="G14" i="15"/>
  <c r="G15" i="15"/>
  <c r="G3" i="11"/>
  <c r="G4" i="11"/>
  <c r="G30" i="11" s="1"/>
  <c r="G31" i="11" s="1"/>
  <c r="G5" i="11"/>
  <c r="G6" i="11"/>
  <c r="G7" i="11"/>
  <c r="G8" i="11"/>
  <c r="G9" i="11"/>
  <c r="G10" i="11"/>
  <c r="G11" i="11"/>
  <c r="G12" i="11"/>
  <c r="G13" i="11"/>
  <c r="G14" i="11"/>
  <c r="G15" i="11"/>
  <c r="G16" i="11"/>
  <c r="G17" i="11"/>
  <c r="G18" i="11"/>
  <c r="G19" i="11"/>
  <c r="G20" i="11"/>
  <c r="G21" i="11"/>
  <c r="G22" i="11"/>
  <c r="G23" i="11"/>
  <c r="G24" i="11"/>
  <c r="G25" i="11"/>
  <c r="G26" i="11"/>
  <c r="G27" i="11"/>
  <c r="G28" i="11"/>
  <c r="G29" i="11"/>
  <c r="G2" i="11"/>
  <c r="G3" i="8"/>
  <c r="G4" i="8"/>
  <c r="G5" i="8"/>
  <c r="G6" i="8"/>
  <c r="G30" i="8" s="1"/>
  <c r="G31" i="8" s="1"/>
  <c r="G7" i="8"/>
  <c r="G8" i="8"/>
  <c r="G9" i="8"/>
  <c r="G10" i="8"/>
  <c r="G11" i="8"/>
  <c r="G12" i="8"/>
  <c r="G13" i="8"/>
  <c r="G14" i="8"/>
  <c r="G15" i="8"/>
  <c r="G16" i="8"/>
  <c r="G17" i="8"/>
  <c r="G18" i="8"/>
  <c r="G19" i="8"/>
  <c r="G20" i="8"/>
  <c r="G21" i="8"/>
  <c r="G22" i="8"/>
  <c r="G23" i="8"/>
  <c r="G24" i="8"/>
  <c r="G25" i="8"/>
  <c r="G26" i="8"/>
  <c r="G27" i="8"/>
  <c r="G28" i="8"/>
  <c r="G29" i="8"/>
  <c r="G2" i="8"/>
  <c r="G3" i="7"/>
  <c r="G4" i="7"/>
  <c r="G5" i="7"/>
  <c r="G6" i="7"/>
  <c r="G7" i="7"/>
  <c r="G8" i="7"/>
  <c r="G9" i="7"/>
  <c r="G10" i="7"/>
  <c r="G11" i="7"/>
  <c r="G12" i="7"/>
  <c r="G13" i="7"/>
  <c r="G14" i="7"/>
  <c r="G15" i="7"/>
  <c r="G16" i="7"/>
  <c r="G17" i="7"/>
  <c r="G18" i="7"/>
  <c r="G19" i="7"/>
  <c r="G20" i="7"/>
  <c r="G21" i="7"/>
  <c r="G22" i="7"/>
  <c r="G23" i="7"/>
  <c r="G24" i="7"/>
  <c r="G25" i="7"/>
  <c r="G26" i="7"/>
  <c r="G27" i="7"/>
  <c r="G28" i="7"/>
  <c r="G29" i="7"/>
  <c r="G2" i="7"/>
  <c r="G3" i="6"/>
  <c r="G4" i="6"/>
  <c r="G5" i="6"/>
  <c r="G6" i="6"/>
  <c r="G7" i="6"/>
  <c r="G8" i="6"/>
  <c r="G9" i="6"/>
  <c r="G10" i="6"/>
  <c r="G11" i="6"/>
  <c r="G12" i="6"/>
  <c r="G13" i="6"/>
  <c r="G14" i="6"/>
  <c r="G15" i="6"/>
  <c r="G16" i="6"/>
  <c r="G17" i="6"/>
  <c r="G18" i="6"/>
  <c r="G19" i="6"/>
  <c r="G20" i="6"/>
  <c r="G21" i="6"/>
  <c r="G22" i="6"/>
  <c r="G23" i="6"/>
  <c r="G24" i="6"/>
  <c r="G25" i="6"/>
  <c r="G26" i="6"/>
  <c r="G27" i="6"/>
  <c r="G28" i="6"/>
  <c r="G29" i="6"/>
  <c r="G2" i="6"/>
  <c r="G3" i="22"/>
  <c r="G4" i="22"/>
  <c r="G5" i="22"/>
  <c r="G6" i="22"/>
  <c r="G7" i="22"/>
  <c r="G8" i="22"/>
  <c r="G9" i="22"/>
  <c r="G10" i="22"/>
  <c r="G11" i="22"/>
  <c r="G12" i="22"/>
  <c r="G13" i="22"/>
  <c r="G14" i="22"/>
  <c r="G15" i="22"/>
  <c r="G16" i="22"/>
  <c r="G17" i="22"/>
  <c r="G18" i="22"/>
  <c r="G19" i="22"/>
  <c r="G20" i="22"/>
  <c r="G21" i="22"/>
  <c r="G22" i="22"/>
  <c r="G23" i="22"/>
  <c r="G24" i="22"/>
  <c r="G25" i="22"/>
  <c r="G26" i="22"/>
  <c r="G27" i="22"/>
  <c r="G28" i="22"/>
  <c r="G29" i="22"/>
  <c r="G2" i="22"/>
  <c r="G3" i="21"/>
  <c r="G4" i="21"/>
  <c r="G5" i="21"/>
  <c r="G6" i="21"/>
  <c r="G7" i="21"/>
  <c r="G8" i="21"/>
  <c r="G9" i="21"/>
  <c r="G10" i="21"/>
  <c r="G11" i="21"/>
  <c r="G12" i="21"/>
  <c r="G13" i="21"/>
  <c r="G14" i="21"/>
  <c r="G15" i="21"/>
  <c r="G16" i="21"/>
  <c r="G17" i="21"/>
  <c r="G18" i="21"/>
  <c r="G19" i="21"/>
  <c r="G20" i="21"/>
  <c r="G21" i="21"/>
  <c r="G22" i="21"/>
  <c r="G23" i="21"/>
  <c r="G24" i="21"/>
  <c r="G25" i="21"/>
  <c r="G26" i="21"/>
  <c r="G27" i="21"/>
  <c r="G28" i="21"/>
  <c r="G29" i="21"/>
  <c r="G2" i="21"/>
  <c r="G3" i="20"/>
  <c r="G4" i="20"/>
  <c r="G5" i="20"/>
  <c r="G6" i="20"/>
  <c r="G7" i="20"/>
  <c r="G8" i="20"/>
  <c r="G9" i="20"/>
  <c r="G10" i="20"/>
  <c r="G11" i="20"/>
  <c r="G12" i="20"/>
  <c r="G30" i="20" s="1"/>
  <c r="G31" i="20" s="1"/>
  <c r="G13" i="20"/>
  <c r="G14" i="20"/>
  <c r="G15" i="20"/>
  <c r="G16" i="20"/>
  <c r="G17" i="20"/>
  <c r="G18" i="20"/>
  <c r="G19" i="20"/>
  <c r="G20" i="20"/>
  <c r="G21" i="20"/>
  <c r="G22" i="20"/>
  <c r="G23" i="20"/>
  <c r="G24" i="20"/>
  <c r="G25" i="20"/>
  <c r="G26" i="20"/>
  <c r="G27" i="20"/>
  <c r="G28" i="20"/>
  <c r="G29" i="20"/>
  <c r="G2" i="20"/>
  <c r="G3" i="19"/>
  <c r="G4" i="19"/>
  <c r="G5" i="19"/>
  <c r="G6" i="19"/>
  <c r="G7" i="19"/>
  <c r="G8" i="19"/>
  <c r="G9" i="19"/>
  <c r="G10" i="19"/>
  <c r="G11" i="19"/>
  <c r="G12" i="19"/>
  <c r="G13" i="19"/>
  <c r="G14" i="19"/>
  <c r="G15" i="19"/>
  <c r="G16" i="19"/>
  <c r="G17" i="19"/>
  <c r="G18" i="19"/>
  <c r="G19" i="19"/>
  <c r="G20" i="19"/>
  <c r="G21" i="19"/>
  <c r="G22" i="19"/>
  <c r="G23" i="19"/>
  <c r="G24" i="19"/>
  <c r="G25" i="19"/>
  <c r="G26" i="19"/>
  <c r="G27" i="19"/>
  <c r="G28" i="19"/>
  <c r="G29" i="19"/>
  <c r="G2" i="19"/>
  <c r="G3" i="18"/>
  <c r="G4" i="18"/>
  <c r="G5" i="18"/>
  <c r="G6" i="18"/>
  <c r="G7" i="18"/>
  <c r="G8" i="18"/>
  <c r="G9" i="18"/>
  <c r="G10" i="18"/>
  <c r="G11" i="18"/>
  <c r="G12" i="18"/>
  <c r="G13" i="18"/>
  <c r="G14" i="18"/>
  <c r="G15" i="18"/>
  <c r="G16" i="18"/>
  <c r="G17" i="18"/>
  <c r="G18" i="18"/>
  <c r="G19" i="18"/>
  <c r="G20" i="18"/>
  <c r="G21" i="18"/>
  <c r="G22" i="18"/>
  <c r="G23" i="18"/>
  <c r="G24" i="18"/>
  <c r="G25" i="18"/>
  <c r="G26" i="18"/>
  <c r="G27" i="18"/>
  <c r="G28" i="18"/>
  <c r="G29" i="18"/>
  <c r="G2" i="18"/>
  <c r="G3" i="17"/>
  <c r="G4" i="17"/>
  <c r="G5" i="17"/>
  <c r="G6" i="17"/>
  <c r="G7" i="17"/>
  <c r="G8" i="17"/>
  <c r="G9" i="17"/>
  <c r="G10" i="17"/>
  <c r="G11" i="17"/>
  <c r="G30" i="17" s="1"/>
  <c r="G31" i="17" s="1"/>
  <c r="G12" i="17"/>
  <c r="G13" i="17"/>
  <c r="G14" i="17"/>
  <c r="G15" i="17"/>
  <c r="G16" i="17"/>
  <c r="G17" i="17"/>
  <c r="G18" i="17"/>
  <c r="G19" i="17"/>
  <c r="G20" i="17"/>
  <c r="G21" i="17"/>
  <c r="G22" i="17"/>
  <c r="G23" i="17"/>
  <c r="G24" i="17"/>
  <c r="G25" i="17"/>
  <c r="G26" i="17"/>
  <c r="G27" i="17"/>
  <c r="G28" i="17"/>
  <c r="G29" i="17"/>
  <c r="G2" i="17"/>
  <c r="G3" i="15"/>
  <c r="G4" i="15"/>
  <c r="G5" i="15"/>
  <c r="G6" i="15"/>
  <c r="G7" i="15"/>
  <c r="G8" i="15"/>
  <c r="G9" i="15"/>
  <c r="G10" i="15"/>
  <c r="G11" i="15"/>
  <c r="G12" i="15"/>
  <c r="G13" i="15"/>
  <c r="G16" i="15"/>
  <c r="G17" i="15"/>
  <c r="G18" i="15"/>
  <c r="G19" i="15"/>
  <c r="G20" i="15"/>
  <c r="G21" i="15"/>
  <c r="G22" i="15"/>
  <c r="G23" i="15"/>
  <c r="G24" i="15"/>
  <c r="G25" i="15"/>
  <c r="G26" i="15"/>
  <c r="G27" i="15"/>
  <c r="G28" i="15"/>
  <c r="G29" i="15"/>
  <c r="G2" i="15"/>
  <c r="G3" i="14"/>
  <c r="G4" i="14"/>
  <c r="G5" i="14"/>
  <c r="G6" i="14"/>
  <c r="G7" i="14"/>
  <c r="G8" i="14"/>
  <c r="G9" i="14"/>
  <c r="G10" i="14"/>
  <c r="G11" i="14"/>
  <c r="G12" i="14"/>
  <c r="G13" i="14"/>
  <c r="G14" i="14"/>
  <c r="G15" i="14"/>
  <c r="G16" i="14"/>
  <c r="G17" i="14"/>
  <c r="G18" i="14"/>
  <c r="G19" i="14"/>
  <c r="G20" i="14"/>
  <c r="G21" i="14"/>
  <c r="G22" i="14"/>
  <c r="G23" i="14"/>
  <c r="G24" i="14"/>
  <c r="G25" i="14"/>
  <c r="G26" i="14"/>
  <c r="G27" i="14"/>
  <c r="G28" i="14"/>
  <c r="G29" i="14"/>
  <c r="G2" i="14"/>
  <c r="G3" i="13"/>
  <c r="G4" i="13"/>
  <c r="G5" i="13"/>
  <c r="G6" i="13"/>
  <c r="G7" i="13"/>
  <c r="G8" i="13"/>
  <c r="G9" i="13"/>
  <c r="G10" i="13"/>
  <c r="G11" i="13"/>
  <c r="G12" i="13"/>
  <c r="G13" i="13"/>
  <c r="G14" i="13"/>
  <c r="G15" i="13"/>
  <c r="G16" i="13"/>
  <c r="G17" i="13"/>
  <c r="G18" i="13"/>
  <c r="G19" i="13"/>
  <c r="G20" i="13"/>
  <c r="G21" i="13"/>
  <c r="G22" i="13"/>
  <c r="G23" i="13"/>
  <c r="G24" i="13"/>
  <c r="G25" i="13"/>
  <c r="G26" i="13"/>
  <c r="G27" i="13"/>
  <c r="G28" i="13"/>
  <c r="G29" i="13"/>
  <c r="G2" i="13"/>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2" i="10"/>
  <c r="G3" i="9"/>
  <c r="G4" i="9"/>
  <c r="G5" i="9"/>
  <c r="G6" i="9"/>
  <c r="G7" i="9"/>
  <c r="G8" i="9"/>
  <c r="G9" i="9"/>
  <c r="G10" i="9"/>
  <c r="G11" i="9"/>
  <c r="G12" i="9"/>
  <c r="G13" i="9"/>
  <c r="G14" i="9"/>
  <c r="G15" i="9"/>
  <c r="G16" i="9"/>
  <c r="G17" i="9"/>
  <c r="G18" i="9"/>
  <c r="G19" i="9"/>
  <c r="G20" i="9"/>
  <c r="G21" i="9"/>
  <c r="G22" i="9"/>
  <c r="G23" i="9"/>
  <c r="G24" i="9"/>
  <c r="G25" i="9"/>
  <c r="G26" i="9"/>
  <c r="G27" i="9"/>
  <c r="G28" i="9"/>
  <c r="G29" i="9"/>
  <c r="G2" i="9"/>
  <c r="G3" i="5"/>
  <c r="G4" i="5"/>
  <c r="G5" i="5"/>
  <c r="G6" i="5"/>
  <c r="G7" i="5"/>
  <c r="G8" i="5"/>
  <c r="G9" i="5"/>
  <c r="G10" i="5"/>
  <c r="G11" i="5"/>
  <c r="G12" i="5"/>
  <c r="G13" i="5"/>
  <c r="G14" i="5"/>
  <c r="G15" i="5"/>
  <c r="G16" i="5"/>
  <c r="G17" i="5"/>
  <c r="G18" i="5"/>
  <c r="G19" i="5"/>
  <c r="G20" i="5"/>
  <c r="G21" i="5"/>
  <c r="G22" i="5"/>
  <c r="G23" i="5"/>
  <c r="G24" i="5"/>
  <c r="G25" i="5"/>
  <c r="G26" i="5"/>
  <c r="G27" i="5"/>
  <c r="G28" i="5"/>
  <c r="G29" i="5"/>
  <c r="G2" i="5"/>
  <c r="G30" i="19"/>
  <c r="G31" i="19" s="1"/>
  <c r="G3" i="4"/>
  <c r="G4" i="4"/>
  <c r="G5" i="4"/>
  <c r="G6" i="4"/>
  <c r="G7" i="4"/>
  <c r="G8" i="4"/>
  <c r="G9" i="4"/>
  <c r="G10" i="4"/>
  <c r="G11" i="4"/>
  <c r="G12" i="4"/>
  <c r="G13" i="4"/>
  <c r="G14" i="4"/>
  <c r="G15" i="4"/>
  <c r="G16" i="4"/>
  <c r="G17" i="4"/>
  <c r="G18" i="4"/>
  <c r="G19" i="4"/>
  <c r="G20" i="4"/>
  <c r="G21" i="4"/>
  <c r="G22" i="4"/>
  <c r="G23" i="4"/>
  <c r="G24" i="4"/>
  <c r="G25" i="4"/>
  <c r="G26" i="4"/>
  <c r="G27" i="4"/>
  <c r="G28" i="4"/>
  <c r="G29" i="4"/>
  <c r="G2" i="4"/>
  <c r="G3" i="3"/>
  <c r="G4" i="3"/>
  <c r="G5" i="3"/>
  <c r="G6" i="3"/>
  <c r="G7" i="3"/>
  <c r="G8" i="3"/>
  <c r="G9" i="3"/>
  <c r="G10" i="3"/>
  <c r="G11" i="3"/>
  <c r="G12" i="3"/>
  <c r="G13" i="3"/>
  <c r="G14" i="3"/>
  <c r="G15" i="3"/>
  <c r="G16" i="3"/>
  <c r="G17" i="3"/>
  <c r="G18" i="3"/>
  <c r="G19" i="3"/>
  <c r="G20" i="3"/>
  <c r="G21" i="3"/>
  <c r="G22" i="3"/>
  <c r="G23" i="3"/>
  <c r="G24" i="3"/>
  <c r="G25" i="3"/>
  <c r="G26" i="3"/>
  <c r="G27" i="3"/>
  <c r="G28" i="3"/>
  <c r="G29" i="3"/>
  <c r="G2" i="3"/>
  <c r="G3" i="2"/>
  <c r="G4" i="2"/>
  <c r="G5" i="2"/>
  <c r="G6" i="2"/>
  <c r="G7" i="2"/>
  <c r="G8" i="2"/>
  <c r="G9" i="2"/>
  <c r="G10" i="2"/>
  <c r="G11" i="2"/>
  <c r="G12" i="2"/>
  <c r="G13" i="2"/>
  <c r="G14" i="2"/>
  <c r="G15" i="2"/>
  <c r="G16" i="2"/>
  <c r="G17" i="2"/>
  <c r="G18" i="2"/>
  <c r="G19" i="2"/>
  <c r="G20" i="2"/>
  <c r="G21" i="2"/>
  <c r="G22" i="2"/>
  <c r="G23" i="2"/>
  <c r="G24" i="2"/>
  <c r="G25" i="2"/>
  <c r="G26" i="2"/>
  <c r="G27" i="2"/>
  <c r="G28" i="2"/>
  <c r="G29" i="2"/>
  <c r="G2" i="2"/>
  <c r="G3" i="1"/>
  <c r="G4" i="1"/>
  <c r="G5" i="1"/>
  <c r="G6" i="1"/>
  <c r="G7" i="1"/>
  <c r="G8" i="1"/>
  <c r="G9" i="1"/>
  <c r="G10" i="1"/>
  <c r="G11" i="1"/>
  <c r="G12" i="1"/>
  <c r="G13" i="1"/>
  <c r="G14" i="1"/>
  <c r="G15" i="1"/>
  <c r="G16" i="1"/>
  <c r="G17" i="1"/>
  <c r="G18" i="1"/>
  <c r="G19" i="1"/>
  <c r="G20" i="1"/>
  <c r="G21" i="1"/>
  <c r="G22" i="1"/>
  <c r="G23" i="1"/>
  <c r="G24" i="1"/>
  <c r="G25" i="1"/>
  <c r="G26" i="1"/>
  <c r="G27" i="1"/>
  <c r="G28" i="1"/>
  <c r="G29" i="1"/>
  <c r="G2" i="1"/>
  <c r="G30" i="6" l="1"/>
  <c r="G31" i="6" s="1"/>
  <c r="G30" i="7"/>
  <c r="G31" i="7" s="1"/>
  <c r="G30" i="4"/>
  <c r="G31" i="4" s="1"/>
  <c r="G30" i="22"/>
  <c r="G31" i="22" s="1"/>
  <c r="G30" i="21"/>
  <c r="G31" i="21" s="1"/>
  <c r="G30" i="18"/>
  <c r="G31" i="18" s="1"/>
  <c r="G30" i="15"/>
  <c r="G31" i="15" s="1"/>
  <c r="G30" i="14"/>
  <c r="G31" i="14" s="1"/>
  <c r="G30" i="13"/>
  <c r="G31" i="13" s="1"/>
  <c r="G30" i="10"/>
  <c r="G31" i="10" s="1"/>
  <c r="G30" i="9"/>
  <c r="G31" i="9" s="1"/>
  <c r="G30" i="5"/>
  <c r="G31" i="5" s="1"/>
  <c r="G30" i="3"/>
  <c r="G31" i="3" s="1"/>
  <c r="G30" i="2"/>
  <c r="G31" i="2" s="1"/>
  <c r="G30" i="1"/>
  <c r="G31" i="1" l="1"/>
  <c r="G29" i="23"/>
  <c r="G30" i="23" s="1"/>
  <c r="G31" i="23" s="1"/>
</calcChain>
</file>

<file path=xl/sharedStrings.xml><?xml version="1.0" encoding="utf-8"?>
<sst xmlns="http://schemas.openxmlformats.org/spreadsheetml/2006/main" count="2706" uniqueCount="578">
  <si>
    <t>Perspectiva</t>
  </si>
  <si>
    <t>ID</t>
  </si>
  <si>
    <t>Dimensão</t>
  </si>
  <si>
    <t>Peso</t>
  </si>
  <si>
    <t>Nível (0-5)</t>
  </si>
  <si>
    <t>Itens Observados</t>
  </si>
  <si>
    <t>Total</t>
  </si>
  <si>
    <t>Dados Abertos</t>
  </si>
  <si>
    <t>D1</t>
  </si>
  <si>
    <t>Dados completos</t>
  </si>
  <si>
    <t>D2</t>
  </si>
  <si>
    <t>Dados primários</t>
  </si>
  <si>
    <t>D3</t>
  </si>
  <si>
    <t>Dados atualizados / DGA atualizado</t>
  </si>
  <si>
    <t>D4</t>
  </si>
  <si>
    <t>Dados acessíveis</t>
  </si>
  <si>
    <t>D5</t>
  </si>
  <si>
    <t>Dados processados por máquina</t>
  </si>
  <si>
    <t>D6</t>
  </si>
  <si>
    <t>Acesso não discriminatório</t>
  </si>
  <si>
    <t>D7</t>
  </si>
  <si>
    <t>Dados não proprietários</t>
  </si>
  <si>
    <t>D8</t>
  </si>
  <si>
    <t>Dados livres de licença</t>
  </si>
  <si>
    <t>D9</t>
  </si>
  <si>
    <t>URIs desenhadas</t>
  </si>
  <si>
    <t>D10</t>
  </si>
  <si>
    <t>Dados ligados</t>
  </si>
  <si>
    <t>Legal</t>
  </si>
  <si>
    <t>D11</t>
  </si>
  <si>
    <t>Tipo de informação</t>
  </si>
  <si>
    <t>D12</t>
  </si>
  <si>
    <t>Gestão de dados sensíveis</t>
  </si>
  <si>
    <t>D13</t>
  </si>
  <si>
    <t>Plano de Dados Abertos</t>
  </si>
  <si>
    <t>Técnica</t>
  </si>
  <si>
    <t>D14</t>
  </si>
  <si>
    <t>Fonte da informação</t>
  </si>
  <si>
    <t>D15</t>
  </si>
  <si>
    <t>Formato dos dados</t>
  </si>
  <si>
    <t>D16</t>
  </si>
  <si>
    <t>Qualidade dos dados</t>
  </si>
  <si>
    <t>D17</t>
  </si>
  <si>
    <t>Metadados</t>
  </si>
  <si>
    <t>D18</t>
  </si>
  <si>
    <t>Vocabulário</t>
  </si>
  <si>
    <t>D19</t>
  </si>
  <si>
    <t>Dimensão geográfica</t>
  </si>
  <si>
    <t>D20</t>
  </si>
  <si>
    <t>Catalogação dos dados</t>
  </si>
  <si>
    <t>Gerencial</t>
  </si>
  <si>
    <t>D21</t>
  </si>
  <si>
    <t>Priorização e Estratégias de abertura</t>
  </si>
  <si>
    <t>D22</t>
  </si>
  <si>
    <t>Estratégias de investimento e cronograma</t>
  </si>
  <si>
    <t>D23</t>
  </si>
  <si>
    <t>Manutenção e correção de problemas</t>
  </si>
  <si>
    <t>Reúso</t>
  </si>
  <si>
    <t>D24</t>
  </si>
  <si>
    <t>Quantidade de conjuntos de dados publicados</t>
  </si>
  <si>
    <t>D25</t>
  </si>
  <si>
    <t>Quantidade de aplicações desenvolvidas</t>
  </si>
  <si>
    <t>D26</t>
  </si>
  <si>
    <t>Quantidade de conjuntos de dados nas aplicações</t>
  </si>
  <si>
    <t>D27</t>
  </si>
  <si>
    <t>Órgão promove o engajamento da sociedade civil</t>
  </si>
  <si>
    <t>D28</t>
  </si>
  <si>
    <t>Total de Pontos</t>
  </si>
  <si>
    <t>Informações sobre o reúso de DGA</t>
  </si>
  <si>
    <t>Indicador de reúso</t>
  </si>
  <si>
    <t>A análise do conjunto de dados evidencia a disponibilização dos recursos em formatos não proprietários, especificamente em CSV e JSON. Ambos os formatos são reconhecidos como padrões abertos e estão em conformidade com as recomendações da métrica para a dimensão D7. Considerando que todos os recursos do conjunto de dados são oferecidos em formatos que atendem integralmente ao critério, atribui-se o Nível 5.</t>
  </si>
  <si>
    <t>A fonte primária dos dados foi identificada como o Sistema Eletrônico de Informação (SEI). Contudo, a documentação desta informação nos metadados apresenta inconsistência entre as plataformas de catalogação. A referência ao SEI consta no portal de dados abertos da instituição (IFMG), mas está ausente na descrição do conjunto de dados no Portal Brasileiro de Dados Abertos. A atribuição do Nível 4 fundamenta-se no cumprimento parcial do critério: a identificação da fonte no catálogo local atende ao requisito principal da dimensão, mas a omissão no catálogo nacional, cuja utilização é preconizada pela dimensão D20, impede a conformidade integral (Nível 5).</t>
  </si>
  <si>
    <t>URL Portal próprio</t>
  </si>
  <si>
    <t>URL Portal Brasileiro de Dados Abertos</t>
  </si>
  <si>
    <t>https://dados.gov.br/dados/conjuntos-dados/afastamentos-do-pais-dos-servidores-do-ifmg-2023</t>
  </si>
  <si>
    <t>https://dadosabertos.ifmg.edu.br/dataset/afastamentos-do-pais-dos-servidores-do-ifmg-2023</t>
  </si>
  <si>
    <t>https://dadosabertos.ifmg.edu.br/dataset/afastamentos_do_pais_dos_servidores_do_ifmg_2024_</t>
  </si>
  <si>
    <t>https://dados.gov.br/dados/conjuntos-dados/afastamentos_do_pais_dos_servidores_do_ifmg_2024_</t>
  </si>
  <si>
    <t>A análise do conjunto de dados indica que os arquivos são disponibilizados nos formatos CSV e JSON. Ambos os formatos são classificados como não proprietários, em conformidade com os critérios estabelecidos pela métrica DGABr para a dimensão D7. Uma vez que 100% dos formatos oferecidos atendem ao requisito, atribui-se o Nível 5, que corresponde ao cumprimento integral do padrão avaliado.</t>
  </si>
  <si>
    <t>Verifica-se que os conjuntos de dados da instituição estão catalogados no Portal Brasileiro de Dados Abertos (dados.gov.br), o que atende integralmente ao critério estabelecido pela métrica DGABr para esta dimensão. Adicionalmente, a instituição mantém um portal de dados próprio, o que complementa a estratégia de disponibilização. Uma vez que a exigência de catalogação no repositório nacional é cumprida em sua totalidade, atribui-se o Nível 5, correspondente ao atendimento de 100% do padrão avaliado.</t>
  </si>
  <si>
    <t>A verificação dos recursos do conjunto de dados, acessados tanto por download direto quanto via API, constatou que as informações são disponibilizadas nos formatos CSV e JSON. Ambos são classificados como não proprietários, em conformidade com as especificações técnicas referenciadas pela métrica (D7, D15). Uma vez que a totalidade dos formatos oferecidos atende ao critério avaliado, atribui-se o Nível 5, que corresponde ao cumprimento integral do requisito.</t>
  </si>
  <si>
    <t>A análise evidencia que o conjunto de dados está catalogado em dois repositórios: o portal institucional da organização e o Portal Brasileiro de Dados Abertos (`dados.gov.br`). A métrica DGABr, em sua dimensão D20 (Catalogação de dados), estabelece como critério principal a indexação dos dados no portal nacional, independentemente da existência de catálogos próprios. O cumprimento integral deste requisito, confirmado pela presença do conjunto de dados no `dados.gov.br`, fundamenta a atribuição do Nível 5 a esta dimensão.</t>
  </si>
  <si>
    <t>Verifica-se que o conjunto de dados encontra-se catalogado no Portal Brasileiro de Dados Abertos, além de constar no portal de dados da própria instituição. A presença no catálogo nacional atende integralmente ao critério estabelecido pela dimensão D20, que avalia a catalogação dos dados em âmbito federal. Este cumprimento integral da recomendação fundamenta a atribuição do Nível 5.</t>
  </si>
  <si>
    <t>A análise do PDA indica que o conjunto de dados em avaliação não se encontra nele inventariado. Consequentemente, não há uma frequência de atualização formalmente definida para o referido conjunto, o que constitui um requisito para a avaliação da dimensão D3. Embora o título do recurso sugira uma cobertura temporal referente ao ano de 2023, a ausência de metadados específicos sobre a periodicidade impede a verificação do cumprimento de qualquer cronograma de atualização.
A métrica DGABr estabelece que o Nível 0 deve ser atribuído quando não há definição para o item avaliado. Uma vez que não foi identificada uma frequência de atualização estabelecida no PDA ou nos metadados do próprio conjunto de dados, a conformidade com este critério não pode ser aferida. Por essa razão, atribui-se o Nível 0 à dimensão.</t>
  </si>
  <si>
    <t>A consulta à funcionalidade de registro de reúso no Portal Brasileiro de Dados Abertos não identificou aplicações, produtos ou serviços que utilizem o referido conjunto de dados. Com base nesta evidência, atribui-se o Nível 0 à dimensão D25 (Quantidade de aplicações desenvolvidas), em conformidade com a métrica DGABr 2.0. A justificativa para esta classificação reside na ausência de qualquer registro de reúso, sendo que a escala de pontuação para esta dimensão se inicia no Nível 2 para a identificação de uma única aplicação.</t>
  </si>
  <si>
    <t>A verificação no Portal Brasileiro de Dados Abertos, fonte de evidência prioritária para a dimensão D26 na métrica DGABr 2.0, não identificou registros de reúso ou aplicações que utilizem o conjunto de dados avaliado. A mensuração desta dimensão é dependente da identificação prévia de ao menos uma aplicação na dimensão D25 ("Quantidade de aplicações desenvolvidas"). Dada a ausência de evidências para D25, a contagem de conjuntos de dados utilizados torna-se inaplicável. Por conseguinte, atribui-se o Nível 0, em conformidade com os critérios da métrica para itens não observados ou sem definição.</t>
  </si>
  <si>
    <t>A verificação da dimensão D25, "Quantidade de aplicações desenvolvidas", foi realizada por meio da consulta ao registro de reúso disponível no Portal Brasileiro de Dados Abertos. Nesta fonte, não foi identificada nenhuma aplicação, produto ou serviço que utilize o conjunto de dados em análise. De acordo com a estrutura da métrica DGABr 2.0, a qual atribui pontuação a partir da identificação de ao menos uma aplicação (Nível 2), a ausência de evidências de reúso fundamenta a atribuição do Nível 0 para esta dimensão.</t>
  </si>
  <si>
    <t>A análise do conjunto de dados indica que os recursos são disponibilizados em formatos estruturados (CSV e JSON), os quais são nativamente processáveis por máquina. A avaliação desta dimensão, conforme a DGABr 2.0, requer, para os níveis superiores, a conformidade com as especificações técnicas do ePING. A verificação dos arquivos confirma que os formatos empregados estão em conformidade com o referido padrão. Considerando que a totalidade dos dados atende aos critérios de estruturação e ao padrão de interoperabilidade, atribui-se o Nível 5, em alinhamento com a definição de cumprimento integral da métrica.</t>
  </si>
  <si>
    <t>A verificação do conjunto de dados confirmou que o acesso aos recursos é público e irrestrito, realizado tanto por meio de interface web quanto via API. A análise dos pontos de acesso indicados demonstrou a ausência de qualquer exigência de cadastro, login ou outra forma de identificação para o download dos dados. Essa condição caracteriza o acesso como não discriminatório, em total alinhamento com os preceitos da dimensão D6. O cumprimento integral do requisito, ao disponibilizar os dados sem barreiras para qualquer usuário, fundamenta a atribuição do Nível 5.</t>
  </si>
  <si>
    <t>A análise do PDA indica a existência de um cronograma para a publicação de conjuntos de dados. No entanto, não foram identificados no documento critérios explícitos de priorização, como a definição de áreas temáticas ou a referência a dados solicitados por meio do e-SIC, elementos centrais para a dimensão D21. A ausência de uma estratégia formal de seleção, apesar da existência de um plano de publicações, fundamenta a atribuição do Nível 1, que se aplica a casos em que um padrão ou norma se encontra em fase de desenvolvimento, mas ainda não foi executado.</t>
  </si>
  <si>
    <t>A análise do conjunto de dados indica que sua origem é o Sistema Eletrônico de Informações (SEI), com as portarias originais disponíveis para verificação na Imprensa Nacional. O conjunto preserva integralmente as informações da fonte, sem a aplicação de agregações ou modificações que alterem sua granularidade. A estrutura dos dados publicados limita-se a identificar a origem e a extrair os elementos textuais das portarias.
Conforme a definição da dimensão D2 da métrica DGABr, que avalia se os dados são brutos e coletados na fonte, o conjunto atende a 100% do critério estabelecido. A ausência de processamento que modifique o conteúdo original fundamenta a atribuição do Nível 5. Registra-se, como uma observação não impeditiva para esta dimensão, a ausência do referido conjunto de dados no PDA, o que aponta para uma lacuna no planejamento formal da publicação.</t>
  </si>
  <si>
    <t>URL API</t>
  </si>
  <si>
    <t>https://dadosabertos.ifmg.edu.br/api/action/package_show?id=afastamentos_do_pais_dos_servidores_do_ifmg_2024_</t>
  </si>
  <si>
    <t>https://dadosabertos.ifmg.edu.br/api/action/package_show?id=afastamentos-do-pais-dos-servidores-do-ifmg-2023</t>
  </si>
  <si>
    <t>A análise documental indica que o conjunto de dados em questão não consta no PDA. Consequentemente, não há uma frequência de atualização formalmente definida para este item, um requisito central para a avaliação da dimensão D3 (Dados atualizados). A ausência de metadados que especifiquem a periodicidade no próprio recurso corrobora essa lacuna de informação, impossibilitando a verificação do seu cumprimento.
Diante da inexistência de um parâmetro de atualização para aferição, atribui-se o Nível 0. A justificativa alinha-se à definição da métrica para este nível, que se aplica quando "não há definição para o item avaliado". Sem uma periodicidade estabelecida, a avaliação do cumprimento da dimensão torna-se tecnicamente inviável.</t>
  </si>
  <si>
    <t>Constata-se que o conjunto de dados é disponibilizado nos formatos CSV e JSON, além de ser acessível por meio de uma API. A utilização desses formatos e do método de acesso está em conformidade com os padrões técnicos recomendados para a publicação de DGA no Brasil, conforme especificado pela métrica.
Considerando que a totalidade dos dados é oferecida em conformidade com as especificações da dimensão, atribui-se o Nível 5. A justificativa para esta classificação reside no cumprimento integral (100%) do critério, que avalia a adoção de formatos que garantem o processamento automatizado e a interoperabilidade, elementos essenciais para o reúso dos dados.</t>
  </si>
  <si>
    <t>A análise evidencia que os conjuntos de dados estão catalogados em um portal institucional e, de forma cumulativa, no Portal Brasileiro de Dados Abertos. A métrica DGABr, em sua dimensão D20, estabelece como critério central a catalogação no portal nacional, mesmo que a instituição mantenha um catálogo próprio. Uma vez que esta condição foi integralmente satisfeita, atribui-se o Nível 5, que corresponde a 100% de conformidade com o padrão definido para a dimensão.</t>
  </si>
  <si>
    <t>A consulta ao registro de reúso no Portal Brasileiro de Dados Abertos não identificou aplicações, produtos ou serviços que utilizem o conjunto de dados em análise. De acordo com os critérios da dimensão D25 da métrica DGABr 2.0, que mensura a quantidade de aplicações desenvolvidas, a ausência de evidências de reúso fundamenta a atribuição do Nível 0.</t>
  </si>
  <si>
    <t>A verificação no Portal Brasileiro de Dados Abertos não indicou a existência de produtos, serviços ou aplicações que reutilizem o conjunto de dados em análise. Conforme a definição da métrica DGABr, a dimensão D28 avalia se os produtos resultantes do reúso informam adequadamente sobre as fontes de DGA utilizadas. Dada a ausência de evidências de reúso, o critério de avaliação para esta dimensão torna-se inaplicável. Por conseguinte, atribui-se o Nível 0, em conformidade com o protocolo da métrica para situações em que o item avaliado não se manifesta.</t>
  </si>
  <si>
    <t>O conjunto de dados é disponibilizado para acesso público via web, sem a exigência de identificação, cadastro ou qualquer forma de registro. A verificação confirmou, adicionalmente, a viabilidade de acesso programático por meio de uma API, permitindo a extração automatizada dos dados. A conformidade integral com os requisitos da dimensão D4, que preconiza o acesso irrestrito, fundamenta a atribuição do Nível 5, uma vez que 100% dos critérios definidos pela métrica foram atendidos.</t>
  </si>
  <si>
    <t>A análise do conjunto de dados evidencia que os recursos são disponibilizados em formatos estruturados (CSV e JSON), o que permite o processamento automatizado por máquina, atendendo ao critério fundamental da dimensão D5. Adicionalmente, a observação de conformidade com as especificações técnicas do ePING alinha a publicação aos requisitos complementados na DGABr 2.0, que estipula tal adequação como um indicador para os níveis de avaliação mais elevados. Pressupondo que 100% dos recursos do conjunto de dados cumprem integralmente os padrões mencionados, atribui-se o Nível 5, por satisfazer plenamente os critérios de estruturação e de alinhamento aos padrões de interoperabilidade governamentais.</t>
  </si>
  <si>
    <t>Verifica-se que o conjunto de dados cumpre integralmente os requisitos da dimensão D6 (Acesso não discriminatório), o que justifica a atribuição do Nível 5. A evidência demonstra que o acesso aos recursos é público e realizado via web, não sendo exigido qualquer tipo de cadastro, autenticação ou registro prévio para a sua consulta ou download. A disponibilidade estende-se tanto à interface do portal de dados quanto ao acesso programático por meio de API, garantindo que não existam barreiras técnicas ou administrativas que restrinjam o uso. Esta conformidade alinha-se à definição da métrica DGABr, que estipula a disponibilidade dos dados a todos os usuários, sem barreiras de identificação, como critério para o cumprimento integral da dimensão.</t>
  </si>
  <si>
    <t>A verificação dos recursos do conjunto de dados, acessados tanto por download direto quanto via API, confirma a disponibilização nos formatos CSV e JSON. Ambos são classificados como não proprietários e estão em conformidade com os critérios da dimensão D7 da métrica DGABr. Uma vez que a totalidade dos formatos ofertados atende ao requisito, atribui-se o Nível 5, que pressupõe o cumprimento integral (100%) do padrão avaliado.</t>
  </si>
  <si>
    <t>Não foram identificadas aplicações, produtos ou serviços que reutilizem o conjunto de dados em análise. A ausência de instâncias de reúso, critério avaliado na dimensão D25, impede a verificação da dimensão D28, cujo objetivo é analisar se os produtos gerados informam sobre as fontes de DGA utilizadas e sua frequência de atualização. Uma vez que não existem produtos a serem inspecionados, o objeto de avaliação é considerado inexistente. Consequentemente, atribui-se o Nível 0 a esta dimensão, em conformidade com a estrutura da métrica DGABr, que define este nível para situações em que o item avaliado não se aplica ou não existe.</t>
  </si>
  <si>
    <t>https://dadosabertos.ifmg.edu.br/dataset/candidatos-e-vagas-nos-processos-seletivos-de-cursos-tecnicos</t>
  </si>
  <si>
    <t>https://dadosabertos.ifmg.edu.br/api/action/package_show?id=candidatos-e-vagas-nos-processos-seletivos-de-cursos-tecnicos</t>
  </si>
  <si>
    <t>https://dados.gov.br/dados/conjuntos-dados/candidatos-e-vagas-nos-processos-seletivos-de-cursos-tecnicos</t>
  </si>
  <si>
    <t>A análise do conjunto de dados "Afastamentos do País dos Servidores do IFMG 2024" constatou que este não consta no PDA da instituição. A ausência de menção no referido plano inviabiliza a verificação da completude dos dados, uma vez que não há um parâmetro de referência oficial que defina o escopo esperado para o conjunto, como a totalidade das variáveis ou a abrangência da série histórica planejada.
Conforme a metodologia da métrica DGABr, a ausência de uma definição formal para o item avaliado no planejamento institucional impede a aferição do seu cumprimento. Portanto, atribui-se o Nível 0 a esta dimensão. A justificativa para esta classificação reside na impossibilidade técnica de avaliar se os dados publicados atingem os patamares de execução sem um compromisso previamente documentado.</t>
  </si>
  <si>
    <t>O acesso ao conjunto de dados ocorre de forma pública via web, não sendo exigido cadastro, login ou qualquer outra forma de identificação para o seu download. Adicionalmente, foi confirmada a disponibilização de uma API, o que viabiliza o consumo automatizado dos dados por sistemas externos.
O conjunto dessas evidências demonstra o cumprimento integral dos critérios estabelecidos pela métrica para a dimensão D4. A ausência de barreiras de acesso, tanto para consulta manual quanto para processamento por máquina, justifica a atribuição do Nível 5, em conformidade com a definição de que 100% dos dados devem ser disponibilizados sem restrições de acesso.</t>
  </si>
  <si>
    <t>O conjunto de dados contém informações de natureza pessoal, como o nome de servidores, períodos de afastamento e destinos. Contudo, a divulgação de tais informações é amparada pela Lei de Acesso à Informação (Lei n.º 12.527/2011), que estabelece o princípio da publicidade para dados de interesse coletivo, e pela Lei Geral de Proteção de Dados (Lei n.º 13.709/2018), que permite o tratamento de dados pessoais de acesso público. O órgão publicador, ao disponibilizar o conjunto, não o classificou sob regime de sigilo, tratando-o como informação pública.
Atribui-se o Nível 4 a esta dimensão. A justificativa fundamenta-se na observação de que o conjunto de dados não contém informações classificadas como sigilosas, e os dados pessoais presentes são considerados de interesse público, o que atende parcialmente aos critérios da dimensão. No entanto, a ausência de documentação que evidencie a estratégia formal de tratamento ou os protocolos de segurança adotados para a gestão desses dados impede a atribuição do Nível 5. Esta lacuna na apresentação do processo de análise e proteção de dados justifica uma avaliação inferior à máxima.</t>
  </si>
  <si>
    <t>Com base na análise do conjunto de dados, constata-se a ausência de um metadado específico para a declaração de vocabulário controlado. Como alternativa, foi inspecionado o campo de palavras-chave, onde se identificou a cadeia de caracteres 'Educação_ Recursos Humanos_ Relações Internacionais'. Embora os termos isolados ("Educação", "Recursos Humanos" e "Relações Internacionais") pertençam ao VCGE, sua concatenação em uma única entrada textual, separada por sublinhados, representa uma implementação tecnicamente inadequada.
Esta formatação compromete a interoperabilidade semântica e o processamento automatizado, que são os objetivos centrais da utilização de um vocabulário controlado. A ausência de um campo dedicado e a implementação não padronizada dos termos no campo substituto indicam que o requisito da dimensão não foi atendido. Diante da evidência de que não há uma aplicação efetiva do padrão, atribui-se o Nível 0.</t>
  </si>
  <si>
    <t>O PDA da instituição define a cobertura geográfica dos dados como estadual, com detalhamento em nível municipal. A análise do conjunto de dados corrobora essa especificação, uma vez que os registros incluem a identificação do campus, permitindo a associação direta ao respectivo município. A presença de um mapa e da listagem de unidades no PDA serve como evidência documental que contextualiza a distribuição espacial das informações.
A conformidade entre a cobertura geográfica estipulada no PDA e a granularidade municipal presente nos dados publicados fundamenta a atribuição do Nível 5. Tal avaliação se justifica pelo cumprimento integral (100%) do critério estabelecido para a dimensão D19, que consiste na correspondência entre a abrangência definida no planejamento e a efetivamente implementada no conjunto de dados.</t>
  </si>
  <si>
    <t>A avaliação da dimensão D26, que na métrica DGABr 2.0 mensura a quantidade de conjuntos de dados distintos utilizados por aplicações, fundamentou-se na consulta ao registro de reúso no Portal Brasileiro de Dados Abertos. A análise não identificou qualquer aplicação que declare a utilização do conjunto de dados em questão.
A ausência de evidências de reúso implica um resultado nulo para a contagem de conjuntos de dados empregados. Consequentemente, atribui-se o Nível 0, conforme os critérios da métrica, que definem este nível para situações em que o item avaliado não se manifesta ou não pode ser mensurado.</t>
  </si>
  <si>
    <t xml:space="preserve">A consulta ao portal institucional evidenciou que o PDA mais recente disponível possui vigência expirada. A ausência de um PDA vigente indica o não cumprimento dos compromissos e prazos estabelecidos pelo instrumento de planejamento, que é obrigatório conforme o Decreto nº 8.777/2016.
De acordo com a estrutura da métrica DGABr, a existência de um PDA cujos compromissos e metas não foram cumpridos caracteriza o Nível 2. </t>
  </si>
  <si>
    <t>A análise documental do PDA e dos portais de dados indica a existência de canais de comunicação passivos, como endereços de e-mail institucionais, identificação do responsável pelo conjunto de dados e ferramentas de feedback na plataforma dados.gov.br. Tais mecanismos são pertinentes à dimensão de manutenção e correção (D23). Contudo, no que tange à dimensão D27 (Engajamento da sociedade civil), não foram localizadas evidências de ações proativas para o fomento ao reúso, como a promoção de eventos, hackathons ou a implementação de sistemas dedicados à interação com a comunidade de desenvolvedores.
O PDA limita-se a descrever os canais de contato, sem instituir um plano ou estratégia para o engajamento ativo da sociedade. A ausência de definição formal de ações dessa natureza, conforme o escopo da dimensão D27, fundamenta a atribuição do Nível 0, que se aplica quando a instituição não possui uma definição para o item avaliado.</t>
  </si>
  <si>
    <t>O PDA da instituição define a cobertura geográfica dos dados como estadual, com granularidade em nível municipal. A análise do conjunto de dados corrobora esta definição, uma vez que os registros permitem a identificação do campus e, consequentemente, do município correspondente. Verifica-se, portanto, o cumprimento integral do escopo geográfico estipulado no PDA, o que evidencia a conformidade entre o planejado e o publicado.
Com base nesta evidência, que demonstra 100% de alinhamento com o critério da dimensão D19, atribui-se o Nível 5. A métrica DGABr estabelece este nível para os casos em que a instituição atende integralmente aos padrões e recomendações definidos para a dimensão avaliada.</t>
  </si>
  <si>
    <t>Verifica-se que os metadados do conjunto de dados não declaram formalmente a utilização de um vocabulário controlado. A análise do campo de palavras-chave, utilizado como evidência secundária, identifica o termo composto "Educação_ Recursos Humanos_ Relações Internacionais". Embora os termos isolados que o compõem constem no VCGE, a sua concatenação em uma única 'palavra' resulta em um identificador não padronizado, o que compromete a interoperabilidade semântica e a recuperação automatizada da informação.
Diante da ausência de implementação de um vocabulário controlado, atribui-se o Nível 0 a esta dimensão. A justificativa técnica fundamenta-se no fato de que a formatação adotada para as palavras-chave, ao não seguir a estrutura e os termos exatos do VCGE, equivale funcionalmente à não utilização de um padrão, alinhando-se à definição de "inexistente" da métrica DGABr.</t>
  </si>
  <si>
    <t>A análise do conjunto de dados indica que sua disponibilização ocorre nos formatos CSV e JSON, além de ser acessível por meio de uma API. Tais formatos e o método de acesso estão em conformidade com os padrões técnicos recomendados para a publicação de DGA, conforme estipulado nos critérios da dimensão D15 da métrica DGABr.
A oferta de múltiplos formatos abertos e processáveis por máquina, juntamente com o acesso via API, evidencia o cumprimento integral dos requisitos da dimensão. Com base nesta evidência, atribui-se o Nível 5.</t>
  </si>
  <si>
    <t>O conjunto de dados contém informações de natureza pessoal, como o nome de servidores, o período de afastamento e o respectivo destino. Tais dados, embora referentes a indivíduos identificados, são considerados de interesse público no contexto de servidores federais, em conformidade com a LAI. Adicionalmente, a LGPD permite o tratamento de dados pessoais de acesso público. O órgão publicador não classificou as informações como sigilosas, disponibilizando-as integralmente com base neste enquadramento legal.
Atribui-se o Nível 4 a esta dimensão. A pontuação se fundamenta na adequação da publicação à legislação vigente, que ampara a divulgação dos dados. No entanto, a ausência de evidência documental que formalize a estratégia institucional para o tratamento e a dessensibilização de dados pessoais impede a atribuição do nível máximo, que pressupõe o cumprimento integral e documentado dos procedimentos de gestão de dados sensíveis.</t>
  </si>
  <si>
    <t>Verificou-se que o conjunto de dados é acessível publicamente por meio de interface web, que permite o download direto dos arquivos, e de forma programática, via API. A consulta aos endpoints confirmou que ambos os métodos de acesso são disponibilizados sem a exigência de qualquer forma de autenticação, como cadastro ou login, para a obtenção dos dados.
A disponibilização do conjunto de dados via web e por meio de API, sem barreiras de identificação, atende integralmente aos critérios da dimensão D4. Essa conformidade fundamenta a atribuição do Nível 5, que corresponde ao cumprimento de 100% dos requisitos estabelecidos pela métrica DGABr 2.0 para esta dimensão.</t>
  </si>
  <si>
    <t>A análise do conjunto de dados indica que a fonte primária da informação são as portarias originadas no SEI e publicadas na Imprensa Nacional. O conjunto de dados preserva as informações originais, transcrevendo os campos relevantes dos documentos-fonte sem aplicar agregações ou modificações que alterem a granularidade dos registros. A manutenção integral da natureza bruta da informação, coletada diretamente da fonte, caracteriza o dado como primário, conforme a definição da dimensão D2 da métrica.
Visto que 100% dos registros atendem ao critério de dado primário, o Nível 5 é atribuído, em conformidade com a escala de avaliação da métrica. Registra-se que o conjunto de dados não consta no PDA, uma observação pertinente a outras dimensões da avaliação, mas que não interfere na análise da granularidade dos dados para a presente dimensão.</t>
  </si>
  <si>
    <t>Com base na análise do conjunto de dados "Afastamentos do País dos Servidores do IFMG 2023", observa-se que este não consta no PDA da instituição. A ausência do referido conjunto representa uma lacuna de evidência, uma vez que este instrumento formaliza o escopo e os critérios de completude esperados para cada conjunto de dados, como a abrangência da série histórica e a totalidade das variáveis a serem publicadas. Sem essa definição prévia, a avaliação objetiva da completude, conforme preconizado pela dimensão D1, torna-se inviável.
Diante da inexistência de uma definição formal para o item avaliado no âmbito do PDA, atribui-se o Nível 0 a esta dimensão. A justificativa técnica alinha-se à definição da métrica DGABr, que classifica como Nível 0 as situações em que não há um padrão estabelecido pela instituição para o critério em análise. A impossibilidade de verificar se os dados publicados correspondem integralmente ao planejado impede a atribuição de níveis superiores, que pressupõem um percentual de cumprimento aferível.</t>
  </si>
  <si>
    <t>Conforme a metodologia da métrica DGABr, o nível da dimensão D16 (Qualidade dos Dados) não é atribuído por avaliação direta, mas sim calculado a partir da média aritmética dos níveis obtidos nas dez dimensões da perspectiva "Dados Abertos" (D1 a D10). Para o conjunto de dados em análise, o cálculo efetuado resulta em um valor de 2,9. Com base nesse resultado atribui-se o Nível 3 à dimensão.</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</si>
  <si>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"https://dadosabertos.ifmg.edu.br/dataset/8e24ca57-6868-4f37-b268-0d297552bee9/resource/c7c56188-1381-4c62-8b46-abf30c683c7c/download/conjunto-de-dados-candidatos-e-vagas-cursos-tecnicos.html"</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</si>
  <si>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"http://dadosabertos.ifmg.edu.br/dataset/8864b0d5-f2c6-4edd-9352-0840d8126ca2/resource/3e81ebd5-7163-4d1f-9a30-c7c4b3b07c11/download/conjunto-de-dados-afastamentos-do-pais-servidores-do-ifmg-2023.csv"</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</si>
  <si>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"http://dadosabertos.ifmg.edu.br/dataset/3b978d5f-443c-4784-8d65-f1aa04b78e16/resource/64fc2fdc-dcda-4aea-975f-689c11cacdf5/download/conjunto-de-dados-afastamentos-do-pais-dos-servidores-do-ifmg-2024.json"</t>
  </si>
  <si>
    <t>A análise do conjunto de dados indica a ausência de informações classificadas como sensíveis ou pessoais que demandem tratamento de anonimização ou pseudonimização. Conforme a especificação da métrica DGABr para a dimensão D12, a não aplicabilidade do critério, em virtude da natureza dos dados publicados, corresponde ao cumprimento integral da dimensão. Desta forma, atribui-se o Nível 4, já que  registra-se, como lacuna de evidência, a ausência de documentação ou metadados que descrevam a política institucional de segurança da informação ou os procedimentos formais para a gestão e tratamento de dados sensíveis. Embora tal ausência não impacte a avaliação deste conjunto de dados específico, ela representa uma limitação na verificação dos processos de governança de dados do órgão.</t>
  </si>
  <si>
    <t>A análise do conjunto de dados indica a ausência de informações de natureza sensível ou pessoal. Conforme a especificação da dimensão D12 da métrica DGABr, a não aplicabilidade do tratamento de dados sensíveis a um conjunto de dados implica a atribuição do nível 4, uma vez que não há requisitos de dessensibilização ou gestão de sigilo a serem cumpridos. A avaliação, portanto, baseia-se na constatação de que o objeto avaliado não contém elementos que demandem tratamento específico de sensibilidade porém, registra-se a ausência de documentação explícita que detalhe a política de segurança ou os critérios utilizados pela instituição para classificar a sensibilidade dos dados, embora tal lacuna não impacte a pontuação desta dimensão no caso em análise.</t>
  </si>
  <si>
    <t>A disponibilização do conjunto de dados ocorre nos formatos CSV e JSON, além de ser oferecido acesso via API. Tais métodos estão em conformidade com os formatos recomendados pelos padrões técnicos para a publicação de DGA no Brasil, conforme estipulado na dimensão D15 da métrica. A evidência indica o cumprimento integral dos padrões, sem a menção de formatos não recomendados ou proprietários.
Com base na premissa de que 100% dos recursos do conjunto de dados aderem a esses padrões, atribui-se o Nível 5. Esta avaliação fundamenta-se no critério da métrica DGABr, que define o Nível 5 como o cumprimento integral das recomendações para a dimensão avaliada.</t>
  </si>
  <si>
    <t>O nível atribuído à dimensão D16 (Qualidade dos Dados) não resulta de uma avaliação direta, mas de um cálculo procedimental definido pela própria métrica DGABr. Conforme a metodologia, o valor corresponde à média aritmética dos níveis obtidos nas dez dimensões da perspectiva "Dados Abertos" (D1 a D10). Para o conjunto de dados em análise, a aplicação da fórmula resultou em 2,7, valor que fundamenta a atribuição do Nível 3.</t>
  </si>
  <si>
    <t>A análise dos metadados do conjunto de dados evidencia o fornecimento de informações essenciais, como autoria, descrição, formato e licenciamento, atendendo a um percentual superior a 80% dos requisitos mínimos estipulados pela métrica. Contudo, a conformidade com os princípios FAIR, um dos critérios para a atribuição do nível máximo na DGABr 2.0 para a dimensão D17, é parcial. Identificam-se como lacunas técnicas a ausência de um sistema de versionamento explícito para os arquivos e a não utilização de ontologias ou vocabulários formais que estabeleçam vínculos semânticos com outros recursos de dados, o que limita a interoperabilidade.
Diante do exposto, o cumprimento elevado dos metadados básicos justifica a superação do Nível 3, enquanto as lacunas identificadas na aplicação dos princípios FAIR impedem a atribuição do Nível 5. Consequentemente, o conjunto de dados é classificado no Nível 4, em conformidade com a estrutura de avaliação da métrica DGABr 2.0.</t>
  </si>
  <si>
    <t>Constata-se que os conjuntos de dados da instituição estão catalogados tanto em um portal institucional próprio quanto no Portal Brasileiro de Dados Abertos (`dados.gov.br`). A presença no catálogo nacional centralizado atende integralmente ao critério estabelecido pela dimensão D20, que visa garantir a localização e o acesso unificado aos dados governamentais.
O cumprimento deste requisito fundamental justifica a atribuição do Nível 5, correspondente a 100% de conformidade com o padrão avaliado. A existência de um catálogo local é uma prática complementar que não interfere na avaliação desta dimensão específica, cujo foco recai sobre a catalogação no portal de referência nacional.</t>
  </si>
  <si>
    <t>A análise do PDA evidencia que a cobertura geográfica dos dados foi definida como estadual, com detalhamento em nível municipal. A inspeção do conjunto de dados corrobora esta definição, uma vez que os registros permitem a identificação do campus e, por conseguinte, do município correspondente. Verifica-se, portanto, a conformidade integral entre a granularidade geográfica estipulada no PDA e a efetivamente implementada no conjunto de dados.
A métrica DGABr, em sua dimensão D19, avalia se a cobertura geográfica dos dados está de acordo com o que foi estipulado no PDA. Dado que a evidência documental e a inspeção do conjunto de dados demonstram alinhamento completo, atribui-se o Nível 5, correspondente a 100% de cumprimento dos critérios para a dimensão.</t>
  </si>
  <si>
    <t>A análise evidencia que os conjuntos de dados estão catalogados tanto no portal institucional da organização (`dadosabertos.ifmg.edu.br`) quanto no Portal Brasileiro de Dados Abertos. A presença no portal nacional atende ao critério fundamental da dimensão D20, que avalia a catalogação dos dados em `dados.gov.br`, mesmo que a instituição mantenha um catálogo próprio. Visto que o requisito de catalogação no repositório centralizado do governo federal foi integralmente cumprido, atribui-se o Nível 5.</t>
  </si>
  <si>
    <t xml:space="preserve">
A verificação dos conjuntos de dados evidencia a sua catalogação tanto no portal de dados da instituição quanto no Portal Brasileiro de Dados Abertos. A métrica DGABr, em sua dimensão D20, estabelece como critério a presença dos dados no catálogo nacional (`dados.gov.br`), independentemente da existência de um portal próprio. Uma vez que o requisito foi integralmente atendido, a avaliação resulta na atribuição do Nível 5, que corresponde ao cumprimento de 100% do padrão definido para a dimensão.</t>
  </si>
  <si>
    <t>Com base na análise do PDA, constata-se que o planejamento para o engajamento da sociedade civil se restringe à descrição de canais de comunicação, como e-mail e o portal institucional. Não foram identificadas no documento evidências de planejamento ou execução de ações proativas, como eventos, consultas públicas ou hackathons, que constituem o escopo avaliativo da dimensão D27 da métrica DGABr.
Embora se observe a disponibilização de contatos e a existência de ferramentas de feedback no portal dados.gov.br, tais elementos são caracterizados como canais de manutenção e comunicação passiva, não se configurando como ações de engajamento promovidas pela instituição para incentivar o reúso dos dados. Diante da ausência de definição de estratégias para o fomento ao reúso, atribui-se o Nível 0, em conformidade com os critérios da métrica.</t>
  </si>
  <si>
    <t>A consulta aos registros de reúso no Portal Brasileiro de Dados Abertos não revelou a existência de aplicações que utilizem o conjunto de dados em análise. Conforme a estrutura da métrica DGABr 2.0, a dimensão D26 (Quantidade de conjuntos de dados utilizados) é dependente da identificação de ao menos uma aplicação na dimensão D25 (Quantidade de aplicações desenvolvidas). A ausência de aplicações que reutilizem os dados do órgão impede a quantificação de conjuntos de dados, o que fundamenta a atribuição do Nível 0 a esta dimensão.
A avaliação baseia-se na ausência de registros formais de reúso na plataforma oficial, que constitui a fonte de evidência preconizada pela métrica. Registra-se, contudo, que esta metodologia pode não capturar o universo total de reutilizações, caso existam aplicações desenvolvidas por terceiros que não tenham sido formalmente catalogadas no referido portal.</t>
  </si>
  <si>
    <t>A análise do PDA evidencia a existência de um cronograma de publicação, contudo, não foram identificados no documento critérios formais que orientem a priorização da abertura de dados. A métrica DGABr 2.0, na dimensão D21 (Priorização e Estratégias), avalia especificamente a definição de critérios como a relevância temática ou a demanda registrada por meio do e-SIC. A ausência desses elementos indica que a seleção dos conjuntos de dados a serem publicados não segue uma estratégia documentada.
A presença de um cronograma, desacompanhada de uma metodologia de priorização, caracteriza um planejamento em estágio inicial. Desta forma, a avaliação se alinha ao Nível 1, que, segundo a métrica, se aplica quando não há uma definição completa do item avaliado, mas existe um padrão ou estudo em desenvolvimento.</t>
  </si>
  <si>
    <t>Dos quarenta conjuntos de dados previstos no Plano de Dados Abertos da instituição, apenas sete foram efetivamente publicados, o que corresponde a 17,5% do total planejado. De acordo com a métrica DGABr, esse percentual enquadra o órgão no nível 1, uma vez que a passagem para o nível 2 exige a disponibilização mínima de 20% dos conjuntos previstos.</t>
  </si>
  <si>
    <t>A análise do conjunto de dados indica que, embora sejam extraídos diretamente do sistema SUAP IFMG, os dados são publicados em formato agregado. Evidencia-se tal agregação na apresentação do quantitativo de bolsistas, em detrimento da disponibilização de registros individualizados. Esta característica contraria o critério da dimensão D2, que define dados primários como aqueles com granularidade máxima e isentos de modificações ou agregações.
A ausência de dados em sua forma bruta e desagregada fundamenta a atribuição do Nível 0, conforme a definição da métrica DGABr para o não cumprimento do requisito avaliado. A documentação consultada não apresenta justificativa técnica para a agregação dos dados.</t>
  </si>
  <si>
    <t>A análise do conjunto de dados evidencia que o acesso é público e irrestrito, sendo realizado via web sem a exigência de cadastro, login ou qualquer outra forma de identificação. A acessibilidade é provida tanto por meio de download direto dos arquivos quanto de forma programática, através de uma API, cujo ponto de acesso foi validado no endereço `https://dadosabertos.ifmg.edu.br/api/action/package_show?id=dados-abertos-projetos-extensao-ifmg`.
A condição de acesso sem barreiras atende integralmente (100%) aos critérios estabelecidos pela métrica para a dimensão D4 (Dados acessíveis). Consequentemente, atribui-se o Nível 5, uma vez que a disponibilização dos dados ocorre sem qualquer forma de acesso discriminatório ou necessidade de identificação, conforme estipulado para a pontuação máxima nesta dimensão.</t>
  </si>
  <si>
    <t>https://dados.gov.br/dados/conjuntos-dados/dados-abertos-extensao-ifmg</t>
  </si>
  <si>
    <t>https://dadosabertos.ifmg.edu.br/dataset/dados-abertos-projetos-extensao-ifmg</t>
  </si>
  <si>
    <t>https://dadosabertos.ifmg.edu.br/api/action/package_show?id=dados-abertos-projetos-extensao-ifmg</t>
  </si>
  <si>
    <t>A análise do conjunto de dados evidencia que o acesso aos recursos é público e irrestrito, sendo disponibilizado tanto por meio de uma interface web quanto via API. A verificação dos pontos de acesso indicados confirmou que não há exigência de cadastro, login ou qualquer outra forma de autenticação para a consulta ou download dos dados.
O cenário observado representa o cumprimento integral (100%) dos critérios estabelecidos para a dimensão D6, que avalia a disponibilidade dos dados a todos os usuários sem a imposição de barreiras. Em conformidade com a estrutura da métrica DGABr 2.0, que define o atendimento completo dos requisitos como o patamar mais elevado, atribui-se o Nível 5.</t>
  </si>
  <si>
    <t>A análise do conjunto de dados evidencia a aplicação da licença "Outra (Domínio Público)". Esta designação indica que o conteúdo foi disponibilizado sem restrições de direito autoral, permitindo seu reúso, cópia, modificação e redistribuição. Conforme os critérios da dimensão D8 (Dados livres de licença), que avalia se os dados estão isentos de restrições que impeçam o reúso, a adoção do domínio público representa o cumprimento integral do requisito estabelecido pela métrica.
Uma vez que a licença declarada assegura a ausência total de restrições de uso, atendendo a 100% do padrão exigido, atribui-se o Nível 5 a esta dimensão. A evidência para esta avaliação consiste na informação de licenciamento explicitada na página de metadados do referido conjunto de dados.</t>
  </si>
  <si>
    <t>Constatou-se a ausência de um metadado explícito que defina o vocabulário controlado para o conjunto de dados. A análise das palavras-chave associadas, especificamente "projetos bolsas", indicou que os termos empregados não são aderentes ao VCGE.
A inexistência de um padrão de vocabulário formalmente adotado fundamenta a atribuição do Nível 0 a esta dimensão, em conformidade com os critérios da métrica DGABr 2.0, que estabelecem este nível para situações em que não há definição para o item avaliado.</t>
  </si>
  <si>
    <t>O PDA da instituição estabelece a dimensão geográfica dos dados, definindo uma abrangência em nível estadual com detalhamento por municípios. Contudo, a inspeção do conjunto de dados publicado revela que a granularidade geográfica estipulada no plano não foi implementada, uma vez que os dados são apresentados de forma consolidada para toda a instituição, sem a segmentação por campus ou município.
Esta divergência entre a norma documentada no PDA e a sua execução na publicação dos dados caracteriza o descumprimento do que foi planejado. De acordo com os critérios da métrica DGABr, um cenário no qual uma recomendação está definida mas não é seguida na prática corresponde ao Nível 2.</t>
  </si>
  <si>
    <t>Com base na análise do PDA da instituição, constata-se a presença de um cronograma para a publicação de conjuntos de dados. No entanto, não foram identificados no documento critérios formais ou uma estratégia explícita para a priorização da abertura, como a definição de áreas temáticas ou a referência a dados solicitados com maior frequência via e-SIC, elementos centrais para a dimensão D21.
A ausência de uma metodologia de priorização documentada indica que a seleção dos conjuntos de dados a serem publicados não segue um processo estruturado. Embora um instrumento de planejamento (o PDA) exista, a definição específica para esta dimensão não foi executada. Por essa razão, atribui-se o Nível 1, que se aplica a cenários onde um padrão ou norma está em desenvolvimento, mas ainda não foi implementado ou integralmente definido.</t>
  </si>
  <si>
    <t>A consulta ao registro de reúso no Portal Brasileiro de Dados Abertos não identificou aplicações, produtos ou serviços que utilizem o referido conjunto de dados. A ausência de registros de utilização constitui a evidência primária para a avaliação da dimensão D25 (Quantidade de aplicações desenvolvidas), conforme a metodologia da DGABr 2.0, que utiliza o portal nacional como fonte para essa verificação.
Diante da inexistência de aplicações documentadas, atribui-se o Nível 0 a esta dimensão. A classificação se fundamenta na ausência total de evidências que demonstrem o reúso do conjunto de dados, alinhando-se à definição do nível mais baixo da métrica, que corresponde à não ocorrência do item avaliado.</t>
  </si>
  <si>
    <t>Atribui-se o Nível 0 à dimensão D26 (Quantidade de conjuntos de dados utilizados), em conformidade com a metodologia DGABr 2.0. A justificativa para esta classificação fundamenta-se na ausência de evidências de reúso do conjunto de dados em análise, conforme verificado no Portal Brasileiro de Dados Abertos e em outras fontes consultadas.
A avaliação da dimensão D26 é metodologicamente dependente da identificação prévia de aplicações na dimensão D25 (Quantidade de aplicações desenvolvidas). Uma vez que não foram localizadas aplicações que utilizem o referido conjunto de dados, torna-se inviável a quantificação de conjuntos de dados utilizados, o que, por consequência, resulta na atribuição do nível mínimo para a D26.</t>
  </si>
  <si>
    <t>A consulta aos mecanismos de registro de reúso, notadamente no Portal Brasileiro de Dados Abertos, não identificou aplicações, produtos ou serviços que utilizem o conjunto de dados em análise. A inexistência de um produto derivado que reutilize os DGA (condição avaliada na dimensão D25) inviabiliza, por consequência, a análise da dimensão D28, cujo escopo é verificar se tais produtos informam adequadamente sobre as fontes de dados utilizadas. Desta forma, atribui-se o Nível 0, em conformidade com a métrica DGABr, que designa este nível para situações em que o objeto de avaliação não foi localizado ou não se aplica.</t>
  </si>
  <si>
    <t>A consulta ao registro de reúso no Portal Brasileiro de Dados Abertos não retornou evidências de aplicações que utilizem o conjunto de dados avaliado. A dimensão D26, em sua formulação na DGABr 2.0, mensura a quantidade de conjuntos de dados de uma instituição que são empregados em uma aplicação identificada na dimensão D25. Visto que não foram localizadas aplicações, o número de conjuntos de dados utilizados é, por consequência, nulo.
Esta ausência de utilização documentada justifica a atribuição do Nível 0. A avaliação da dimensão D26 é dependente da identificação prévia de ao menos uma aplicação na D25, o que constitui uma lacuna de evidência neste caso. A falta de registros no portal oficial, fonte primária para esta verificação, impede a atribuição de um nível superior.</t>
  </si>
  <si>
    <t>A análise documental do PDA e dos portais de dados associados identificou a disponibilização de canais de comunicação, como endereços de e-mail institucionais e a identificação do responsável pelo conjunto de dados, além das ferramentas de feedback padrão do Portal Brasileiro de Dados Abertos. Contudo, o PDA limita-se a descrever esses canais de comunicação passivos, não apresentando evidências de ações proativas de engajamento, tais como a promoção de eventos, hackathons ou a criação de sistemas específicos para interação com a sociedade civil, conforme preconiza a dimensão D27.
A ausência de estratégias ou ações documentadas para o fomento ao reúso dos dados caracteriza a não definição do item avaliado. De acordo com a métrica DGABr 2.0, a inexistência de definição para o item corresponde ao Nível 0. Portanto, atribui-se o Nível 0 a esta dimensão, uma vez que os canais de comunicação identificados, embora existentes, não constituem evidência de engajamento ativo para incentivar o reúso dos dados.</t>
  </si>
  <si>
    <t>A análise do conjunto de dados indica que a fonte da informação é o sistema SUAP IFMG. Não foram identificados indícios de agregações, sumarizações ou tratamentos interpretativos, o que demonstra que os dados são disponibilizados em sua forma bruta e com granularidade máxima. Esta constatação atende integralmente aos critérios da dimensão D2 (Dados primários), que avalia se os dados são coletados diretamente na fonte, sem modificações. Portanto, a conformidade com o padrão definido justifica a atribuição do Nível 5.
Registra-se, contudo, que a publicação deste conjunto de dados não foi localizada no PDA. Embora este fato não impacte a avaliação da dimensão D2, representa uma lacuna de evidência no que tange ao planejamento formal da disponibilização, aspecto pertinente a outras dimensões da métrica, como a D13 (Plano de Dados Abertos) e a D24 (Quantidade de conjuntos de dados publicados).</t>
  </si>
  <si>
    <t>A análise documental indica que o conjunto de dados em avaliação não consta no PDA da instituição. Adicionalmente, não foi identificada, nos metadados ou na documentação associada, a definição formal da periodicidade de atualização para este conjunto de dados, um requisito central para a avaliação da dimensão D3 (Dados atualizados). A referência ao ano de 2024, embora presente, é insuficiente para estabelecer um cronograma de atualização verificável.
Diante da ausência de um compromisso formal de atualização, torna-se inviável a verificação do cumprimento de qualquer periodicidade. Consequentemente, atribui-se o Nível 0, em conformidade com a definição da métrica DGABr, que estabelece este nível para situações em que não há uma norma ou recomendação definida para o item avaliado.</t>
  </si>
  <si>
    <t>Constatou-se que o conjunto de dados é acessível publicamente por meio da web e via API, conforme verificado no endereço `https://dadosabertos.ifmg.edu.br/api/action/package_show?id=dados-abertos-extensao-ifmg`. O acesso aos recursos não requer qualquer forma de identificação, cadastro ou autenticação, o que representa o cumprimento integral (100%) dos critérios estabelecidos pela métrica para esta dimensão. Por conseguinte, atribui-se o Nível 5.</t>
  </si>
  <si>
    <t>Constatou-se que o conjunto de dados é disponibilizado para acesso público por meio de interface web e via API, conforme verificado nos endereços eletrônicos fornecidos. A análise confirmou que ambos os métodos de acesso não impõem a necessidade de registro, login ou qualquer outra forma de identificação do usuário para o download dos dados. As URLs dos recursos foram validadas e não apresentaram restrições de uso.
Com base nessas evidências, atribui-se o Nível 5 a esta dimensão. A justificativa para tal nível reside no cumprimento integral (100%) do critério de acesso não discriminatório, que, segundo a métrica DGABr, é caracterizado pela disponibilidade dos dados a todos os interessados, sem barreiras de acesso.</t>
  </si>
  <si>
    <t>Constata-se que o conjunto de dados foi publicado sob a licença "Outra (Domínio Público)". Essa designação implica a ausência de restrições de direito autoral, permitindo o uso, a cópia, a modificação e a redistribuição do conteúdo sem necessidade de autorização prévia. A dimensão D8 da métrica DGABr avalia especificamente se os dados estão livres de licenças que restrinjam o reúso.
A dedicação ao domínio público representa o cumprimento integral (100%) do critério estabelecido para a dimensão, alinhando-se à definição de "Resultados Avançados". Portanto, a atribuição do Nível 5 é tecnicamente fundamentada, uma vez que a licença adotada maximiza o potencial de reúso ao eliminar barreiras de propriedade intelectual.</t>
  </si>
  <si>
    <t>https://dadosabertos.ifmg.edu.br/dataset/dados-abertos-extensao-ifmg</t>
  </si>
  <si>
    <t>https://dadosabertos.ifmg.edu.br/api/action/package_show?id=dados-abertos-extensao-ifmg</t>
  </si>
  <si>
    <t xml:space="preserve">
A dimensão D11 da métrica DGABr analisa se a informação disponibilizada possui respaldo na legislação e nos instrumentos normativos que regulam sua publicação. No caso dos dados referentes aos "afastamentos do país de servidores do IFMG em 2023",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</si>
  <si>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"afastamentos do país de servidores do IFMG em 2024",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</si>
  <si>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"Candidatos e Vagas nos Processos Seletivos de Cursos Técnicos",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</si>
  <si>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"Quantitativo de projetos e bolsas de Extensão",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</si>
  <si>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"Convênios do IFMG",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</si>
  <si>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as "Denúncias Apuradas pela Corregedoria entre 2018 a 2023",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</si>
  <si>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"Cursos Técnicos de Nível Médio Ofertados",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</si>
  <si>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"Cursos de Graduação Ofertados",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</si>
  <si>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"Cursos de Pós-Graduação Lato Sensu do IFMG",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</si>
  <si>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"Cursos de mestrado do IFMG",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</si>
  <si>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"Candidatos e Vagas nos Processos Seletivos de Cursos de Graduação",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</si>
  <si>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"Disciplinas dos Cursos de Graduação",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</si>
  <si>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"Disciplinas dos Cursos Técnicos",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</si>
  <si>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"Link de internet dos campi",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</si>
  <si>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"Chamados de suporte",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</si>
  <si>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"Matrículas Iniciais nos Cursos Técnicos e de Graduação",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</si>
  <si>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"Quantitativo de Discentes e Docentes por Campus",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</si>
  <si>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"Quantitativo de Estudantes com Necessidades Educacionais Específicas Atendidos pelos NAPNEEs",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</si>
  <si>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"Certificados de Conclusão do Ensino Médio e Declarações Parciais de Proficiência Emitidos com Base nos Resultados do Encceja",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</si>
  <si>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"Divulgações do IFMG",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</si>
  <si>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 xml:space="preserve">
A dimensão D11 da métrica DGABr analisa se a informação disponibilizada possui respaldo na legislação e nos instrumentos normativos que regulam sua publicação. No caso dos dados referentes aos "Portarias publicadas pela reitoria do IFMG 2023", trata-se de informação prevista na legislação brasileira, em especial nos artigos 7º e 8º da Lei de Acesso à Informação, que determinam a divulgação ativa desse tipo de dado. Dessa forma, o conjunto atende plenamente ao requisito estabelecido, alcançando o nível 5 na dimensão.</t>
  </si>
  <si>
    <t>O conjunto de dados "Quantitativo de projetos e bolsas de Extensão" disponibiliza informações referentes ao ano de 2024. Conforme o PDA da instituição, que estabelece o compromisso de publicação para o período de 2023 a 2025 com frequência semestral, constata-se a ausência dos dados relativos ao ano de 2023/1, 20223/2, 2024/2 e 2025/1. A não publicação de um dos dois anos previstos até a data da avaliação configura um cumprimento parcial da completude da série histórica.
É importante destacar que o PDA apresenta dois conjuntos distintos, um relacionado aos projetos de extensão e outro às bolsas, cada qual com frequência de atualização própria. O conjunto de projetos de extensão possui atualização anual, enquanto o de bolsas é atualizado semestralmente. Para fins de análise, considerou-se o conjunto com a frequência de atualização mais elevada.
Esta lacuna representa a disponibilização de 20% dos dados esperados, o que fundamenta a atribuição do Nível 2. De acordo com a estrutura da métrica DGABr, este nível é aplicado quando a instituição cumpre, no mínimo, 20% dos padrões definidos para a dimensão avaliada, sendo considerado o patamar mínimo para o reúso dos dados.</t>
  </si>
  <si>
    <t>O conjunto de dados "Convênios do IFMG", constatou que este não consta no PDA da instituição. A ausência de menção no referido plano inviabiliza a verificação da completude dos dados, uma vez que não há um parâmetro de referência oficial que defina o escopo esperado para o conjunto, como a totalidade das variáveis ou a abrangência da série histórica planejada.
Conforme a metodologia da métrica DGABr, a ausência de uma definição formal para o item avaliado no planejamento institucional impede a aferição do seu cumprimento. Portanto, atribui-se o Nível 0 a esta dimensão. A justificativa para esta classificação reside na impossibilidade técnica de avaliar se os dados publicados atingem os patamares de execução sem um compromisso previamente documentado.</t>
  </si>
  <si>
    <t>Constatou-se que os conjuntos de dados estão catalogados tanto no portal de dados da própria instituição quanto no Portal Brasileiro de Dados Abertos. A métrica DGABr, em sua dimensão D20, estabelece como critério fundamental a catalogação no portal nacional (dados.gov.br), considerando a existência de um catálogo local como uma prática complementar, mas não substitutiva.
Uma vez que o requisito de presença no Portal Brasileiro de Dados Abertos é integralmente atendido, a avaliação resulta no Nível 5. Esta atribuição se fundamenta no cumprimento de 100% do padrão definido para a dimensão, conforme a escala de avaliação da métrica.</t>
  </si>
  <si>
    <t>A análise do conjunto de dados indica que as informações foram geradas e publicadas diretamente pelo órgão responsável, sem evidências de tratamento interpretativo ou agregação. Este fato caracteriza os dados como primários, conforme a definição da métrica DGABr 2.0, que preconiza a disponibilização da informação em sua máxima granularidade, tal como coletada na fonte. Visto que o critério é integralmente atendido, atribui-se o Nível 5 a esta dimensão.</t>
  </si>
  <si>
    <t>Com base na análise do conjunto de dados "Denúncias Apuradas pela Corregedoria entre 2018 a 2023" e do PDA institucional, observa-se que a frequência de atualização definida para o referido conjunto é anual. A documentação disponível abrange os registros de 2018 a 2023, contudo, constata-se a ausência dos dados relativos ao ano de 2024, os quais seriam esperados para manter a conformidade com a periodicidade estabelecida.
O cumprimento parcial da frequência de atualização justifica a atribuição do Nível 4. A métrica DGABr 2.0 estipula este nível para dimensões que atingem, no mínimo, 80% de conformidade. Considerando o período de sete anos (2018-2024), a publicação de dados para seis deles representa uma taxa de cumprimento de aproximadamente 85,7%. Este percentual satisfaz o critério para "Resultados Existentes", mas não atinge os 100% necessários para o Nível 5.</t>
  </si>
  <si>
    <t>O conjunto de dados é disponibilizado para acesso público por meio da web, sem a requisição de cadastro, login ou qualquer outra forma de identificação do usuário. A acessibilidade é corroborada pela disponibilização de uma API, conforme verificado no endereço `https://dadosabertos.ifmg.edu.br/api/action/package_show?id=denuncias-apuradas-pela-corregedoria-em-2018a2023`.
Com base nestas evidências, atribui-se o Nível 5 à dimensão D4. A justificativa reside no cumprimento integral (100%) do critério de acesso irrestrito, conforme estipulado pela métrica DGABr, que define este nível como a disponibilização de todos os dados via web sem barreiras de identificação.</t>
  </si>
  <si>
    <t>A verificação do conjunto de dados demonstrou que o acesso aos recursos é público e irrestrito. Tanto o download direto dos arquivos, a partir da página do conjunto de dados, quanto o consumo de informações por meio da API foram realizados sem a exigência de cadastro, login ou qualquer outra forma de identificação do usuário.
Esta constatação atende integralmente aos critérios da dimensão D6 (Acesso não discriminatório), que avalia a disponibilidade dos dados a todos os públicos sem barreiras de registro. Com base na evidência de cumprimento de 100% do requisito, atribui-se o Nível 5.</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</si>
  <si>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"http://dadosabertos.ifmg.edu.br/dataset/1adbc936-ca37-4d53-89dd-35d9a1a015ca/resource/eac533ff-da7b-4a86-a625-f4183cdee582/download/conjunto-de-dados-denuncias-apuradas-pela-corregedoria-em-2019.csv."</t>
  </si>
  <si>
    <t>A análise do conjunto de dados "Denúncias Apuradas pela Corregedoria entre 2018 a 2023" apresentam as informações sobre as denuncias de forma completa de acordo com a avaliação. Porém, conforme estabelecido no PDA da instituição, a frequência de atualização para este conjunto é anual mas, observa-se a ausência dos dados referentes ao ano de 2024, que seriam esperados de acordo com a periodicidade definida.
A atribuição do Nível 4 fundamenta-se no critério quantitativo da métrica DGABr para a dimensão D1. A publicação abrange seis dos sete anos previstos na série temporal (2018-2024), o que corresponde a uma completude de aproximadamente 85,7%. Este percentual atende ao limiar mínimo de 80% exigido para o Nível 4.</t>
  </si>
  <si>
    <t>A análise do conjunto de dados e de seus metadados associados não identificou a indicação da fonte primária da informação, critério avaliado pela dimensão D14. A ausência de um campo específico ou de menção na documentação de suporte que descreva a origem dos dados brutos fundamenta a atribuição do Nível 0. Esta classificação é consistente com a definição da métrica DGABr para itens não publicados ou indefinidos.</t>
  </si>
  <si>
    <t>Conforme a metodologia da métrica DGABr, o nível atribuído à dimensão D16 (Qualidade dos Dados) não resulta de uma avaliação direta, sendo determinado pelo cálculo da média aritmética simples dos níveis obtidos nas dez dimensões que compõem a perspectiva "Dados Abertos" (D1 a D10). Para o conjunto de dados em análise, a aplicação da fórmula resulta em um valor de 3,7, o que justifica a atribuição do Nível 4.</t>
  </si>
  <si>
    <t>Constata-se que o PDA da instituição estipula sua abrangência geográfica como estadual, com detalhamento das unidades em múltiplos municípios. A inspeção do conjunto de dados evidencia que cada registro individualizado contém a informação do município correspondente, o que demonstra a conformidade entre a cobertura geográfica dos dados publicados e a granularidade definida no referido plano. Este alinhamento integral entre o planejado e o executado justifica a atribuição do Nível 5, que representa o cumprimento de 100% dos critérios para a dimensão D19.</t>
  </si>
  <si>
    <t>Constatou-se que o conjunto de dados está catalogado no Portal Brasileiro de Dados Abertos, conforme verificado no endereço eletrônico correspondente à organização. Adicionalmente, o conjunto de dados também se encontra disponível em um catálogo institucional próprio. A publicação no portal nacional atende integralmente ao critério estabelecido pela dimensão D20, que avalia a centralização da catalogação para facilitar a descoberta dos dados. Por conseguinte, atribui-se o Nível 5, correspondente ao cumprimento de 100% do requisito.</t>
  </si>
  <si>
    <t>Com base na análise do PDA referenciado, observa-se a existência de um cronograma de publicação. Contudo, o documento não apresenta uma estratégia formal para a priorização da abertura de conjuntos de dados, como critérios baseados em áreas temáticas de maior relevância ou em dados mais solicitados por meio do e-SIC, elementos centrais para a dimensão D21.
A ausência de critérios de priorização explícitos indica que o item avaliado não se encontra definido ou implementado, embora um instrumento de planejamento (o PDA) já exista. Esta configuração corresponde ao Nível 1, atribuído quando há um normativo em desenvolvimento, mas cujos componentes essenciais para a dimensão em análise ainda não foram estabelecidos.</t>
  </si>
  <si>
    <t>A análise do PDA evidencia a previsão de publicação do conjunto de dados, com um cronograma estabelecido para setembro de 2023. Constata-se que a disponibilização ocorreu entre setembro e outubro do mesmo ano, o que caracteriza um cumprimento parcial do prazo definido no plano. Desta forma, atribui-se o Nível 3, em conformidade com a definição da métrica DGABr para o cumprimento de, no mínimo, 50% dos padrões estabelecidos, sendo este o nível mínimo para que os DGA sejam considerados para reúso.</t>
  </si>
  <si>
    <t>Conforme verificação realizada no registro de reúso do Portal Brasileiro de Dados Abertos, constatou-se a inexistência de aplicações, produtos ou serviços que utilizem o conjunto de dados em análise. A ausência de registros constitui a evidência primária para a avaliação desta dimensão.
Diante da falta de evidências de reúso, atribui-se o Nível 0. A justificativa para esta classificação fundamenta-se nos critérios da métrica DGABr 2.0 para a dimensão D25, que foi reformulada para avaliar a quantidade de "aplicações" de forma mais ampla. A escala de avaliação para esta dimensão é quantitativa e inicia a pontuação a partir da identificação de, no mínimo, uma aplicação (Nível 2). Visto que nenhum reúso foi identificado, o nível atribuído corresponde à ausência de resultados.</t>
  </si>
  <si>
    <t>A verificação realizada no registro de reúso do Portal Brasileiro de Dados Abertos não identificou aplicações que utilizem o conjunto de dados em análise. A métrica DGABr 2.0, em sua dimensão D26 (Quantidade de conjuntos de dados utilizados), mensura quantos conjuntos de dados distintos de uma instituição são empregados em uma aplicação de reúso, a qual deve ser previamente identificada na dimensão D25.
Dada a ausência de uma aplicação registrada que utilize os dados avaliados, a premissa para a mensuração da dimensão D26 não é atendida. Consequentemente, atribui-se o Nível 0, uma vez que não há objeto de análise para a contagem de conjuntos de dados reutilizados, conforme a metodologia da métrica.</t>
  </si>
  <si>
    <t>Com base na análise documental, constata-se a existência de canais de comunicação passivos. Foram identificados e-mails institucionais e a nomeação do responsável pelo conjunto de dados, além das ferramentas de interação providas pela plataforma dados.gov.br, como escalas de satisfação e fóruns de discussão. Tais mecanismos, embora permitam o contato, são reativos e não configuram, por si, ações de engajamento.
A dimensão D27 (Engajamento da sociedade civil) da métrica DGABr avalia a promoção de ações proativas para incentivar o reúso dos dados, como eventos, hackathons ou o desenvolvimento de portais específicos. O PDA consultado descreve os canais de comunicação existentes, mas não apresenta evidências de planejamento ou execução de tais iniciativas. A ausência de ações efetivas de engajamento documentadas fundamenta a atribuição do Nível 0 a esta dimensão, conforme os critérios da métrica.</t>
  </si>
  <si>
    <t>Não se identificou a existência de aplicações, produtos ou serviços que reutilizem o conjunto de dados em análise. A avaliação desta dimensão (D28) é conceitualmente dependente da prévia identificação de casos de reúso, conforme estabelecido na dimensão D25. Uma vez que não foram localizados exemplos concretos de reutilização, torna-se inviável a verificação do critério central da D28: a comunicação, nos produtos gerados, sobre as fontes de DGA utilizadas e sua frequência de atualização.
A ausência de evidências de reúso, que constitui o objeto de análise desta dimensão, fundamenta a atribuição do Nível 0. Esta classificação alinha-se à definição da métrica DGABr, que designa o Nível 0 para situações em que o item avaliado não pode ser observado ou não possui uma definição aplicável ao contexto do conjunto de dados.</t>
  </si>
  <si>
    <t>https://dados.gov.br/dados/conjuntos-dados/denuncias-apuradas-pela-corregedoria-em-2018a2023</t>
  </si>
  <si>
    <t>https://dadosabertos.ifmg.edu.br/dataset/denuncias-apuradas-pela-corregedoria-em-2018a2023</t>
  </si>
  <si>
    <t>https://dadosabertos.ifmg.edu.br/api/action/package_show?id=denuncias-apuradas-pela-corregedoria-em-2018a2023</t>
  </si>
  <si>
    <t>Observa-se que os dados são provenientes diretamente da unidade organizacional responsável por sua geração, a Diretoria de Processos Seletivos. Não foram identificadas evidências de tratamento interpretativo ou de agregação nas informações disponibilizadas, o que indica que os dados mantêm sua integridade e granularidade originais. Este cenário atende ao critério da dimensão D2, que, segundo a métrica DGABr, avalia se os dados são brutos e coletados na fonte, sem modificações. A conformidade integral com o padrão estabelecido para a dimensão justifica a atribuição do Nível 5.</t>
  </si>
  <si>
    <t>O conjunto de dados "Cursos Técnicos de Nível Médio Ofertados" disponibiliza informações referentes ao ano de 2024. Conforme o PDA do IFMG, a frequência de atualização para este conjunto é anual. A avaliação da dimensão D1 (Dados completos), no entanto, incide sobre a completude do escopo dos dados publicados em relação ao que foi planejado, como a abrangência de séries históricas ou a totalidade das variáveis previstas. Ao que se propõe o conjunto de dados os campos "campus,nome-do-curso,forma-de-oferta,turno-de-oferta,modalidade-de-oferta,vagas-ofertadas" parecem ser completos o suficiente, para o mesmo. Assumindo que o escopo planejado no PDA se limita aos dados do ano vigente, a publicação das informações de 2024 corresponderia a 100% do previsto, o que fundamentaria a atribuição do Nível 5.</t>
  </si>
  <si>
    <t>Constata-se que o conjunto de dados é acessível publicamente por meio da web, não exigindo qualquer forma de identificação, cadastro ou login para o seu acesso. Adicionalmente, foi verificada a disponibilização de uma API, que permite o acesso programático aos dados.
Tais características cumprem integralmente os requisitos da dimensão D4, que avalia se os dados são acessíveis via web sem barreiras de identificação. A existência de múltiplos meios de acesso, incluindo uma API, evidencia a conformidade total com os padrões definidos pela métrica, o que fundamenta a atribuição do Nível 5.</t>
  </si>
  <si>
    <t>Constatou-se que o acesso ao conjunto de dados é público e irrestrito, sendo disponibilizado tanto por meio de interface web quanto via API. A análise dos pontos de acesso indicados confirmou a ausência de qualquer exigência de cadastro, login ou outra forma de identificação para o download dos recursos. Esta condição atende integralmente ao critério da dimensão D6 (Acesso não discriminatório), que avalia se os dados estão disponíveis para todos os usuários sem barreiras.
Em conformidade com a estrutura da métrica, o cumprimento de 100% do requisito corresponde ao Nível 5. A dimensão D6 não sofreu alterações na versão 2.0 da métrica, mantendo-se a avaliação original. Portanto, a evidência descrita fundamenta a atribuição do nível máximo para esta dimensão.</t>
  </si>
  <si>
    <t>A verificação dos arquivos do conjunto de dados, obtidos por download direto e via API, constatou a sua disponibilização nos formatos CSV e JSON. Ambos os formatos são classificados como não proprietários, alinhando-se aos padrões técnicos recomendados pela métrica DGABr. Uma vez que a totalidade dos formatos oferecidos atende ao critério estabelecido, a publicação é considerada integral. Tal conformidade justifica a atribuição do Nível 5, que, segundo a metodologia, corresponde ao cumprimento de 100% do requisito avaliado na dimensão.</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</si>
  <si>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"http://dadosabertos.ifmg.edu.br/dataset/a388d221-708a-427b-9f16-341f9d22e1f1/resource/5b0fcf91-60d0-47ff-b1ac-d6d8a90e85f4/download/conjunto-de-dados-cursos-tecnicos-ofertados.csv"</t>
  </si>
  <si>
    <t>A análise do conjunto de dados evidencia a conformidade com os formatos recomendados pela métrica. Verifica-se a disponibilização dos dados em formatos estruturados e não proprietários, como CSV e JSON, além da oferta de acesso via API. Tais métodos atendem integralmente aos padrões técnicos estipulados pela DGABr para a dimensão D15, que prevê o uso de formatos recomendados ou o acesso por meio de API ou SPARQL.
Considerando que a totalidade dos recursos do conjunto de dados é oferecida em conformidade com as especificações, sem a identificação de formatos proprietários ou não estruturados, atribui-se o Nível 5. Esta classificação é justificada pelo cumprimento de 100% dos critérios definidos para a dimensão.</t>
  </si>
  <si>
    <t>A avaliação desta dimensão verifica a conformidade entre a frequência de atualização definida no PDA e a temporalidade dos dados efetivamente publicados. O PDA da instituição estabelece uma periodicidade anual para o conjunto de dados "Cursos Técnicos de Nível Médio Ofertados". A inspeção do referido conjunto de dados evidencia que as informações disponibilizadas correspondem ao ano de 2024, o que demonstra o cumprimento integral do cronograma.
Diante da correspondência de 100% entre o planejado e o executado, atribui-se o Nível 5 a esta dimensão. A justificativa se fundamenta na observação de que a publicação dos dados atende integralmente à frequência de atualização documentada e que os cursos técnicos de nível médio tem duração anual, o que viabiliza as informações estarem tão atuais quanto necessário, em conformidade com os critérios da métrica.</t>
  </si>
  <si>
    <t>Com base na metodologia da métrica DGABr, o nível da dimensão D16 (Qualidade dos Dados) não é atribuído por observação direta, mas determinado pela média aritmética dos níveis obtidos nas dez dimensões da perspectiva "Dados Abertos" (D1 a D10). Para o conjunto de dados em análise, os níveis registrados resulta em 3,9. Conforme a prática de arredondamento ou truncamento para o inteiro inferior, o valor é consolidado como Nível 4.</t>
  </si>
  <si>
    <t>A análise do conjunto de dados não identificou a declaração explícita de um vocabulário controlado, conforme preconizado pela dimensão D18. Na ausência de um metadado específico para este fim, a avaliação recaiu sobre as palavras-chave associadas ao recurso, que são: "Corregedoria", "Denúncia", "Infração Disciplinar" e "Processos Correcionais".
Constatou-se que os termos listados não correspondem a entradas formais do VCGE). A ausência de um vocabulário controlado definido e a utilização de palavras-chave não padronizadas fundamentam a atribuição do Nível 0 a esta dimensão, uma vez que não há evidência de aplicação de um padrão para o item avaliado, alinhando-se à definição da métrica DGABr para este nível.</t>
  </si>
  <si>
    <t>O PDA da instituição define a cobertura geográfica dos dados como estadual, com detalhamento em nível municipal. A inspeção do conjunto de dados confirma que a informação está segmentada por campus, o que permite a identificação do município correspondente a cada registro. Constata-se, portanto, a conformidade entre a dimensão geográfica estipulada no PDA e a granularidade efetivamente apresentada nos dados publicados. Este alinhamento integral entre o planejado e o executado justifica a atribuição do Nível 5, conforme os critérios da dimensão D19 da métrica DGABr.</t>
  </si>
  <si>
    <t>Constatou-se que o conjunto de dados se encontra catalogado no Portal Brasileiro de Dados Abertos (`dados.gov.br`), atendendo integralmente ao critério definido pela dimensão D20 da métrica DGABr. A verificação confirmou, adicionalmente, a publicação dos dados em um catálogo institucional próprio. Conforme a estrutura da métrica, a catalogação no portal federal é o requisito determinante para a avaliação. O cumprimento de 100% deste critério fundamenta a atribuição do Nível 5 a esta dimensão.</t>
  </si>
  <si>
    <t>Com base na análise do PDA referenciado, constata-se a ausência de critérios formais para a priorização da abertura de conjuntos de dados. O documento não apresenta menções a estratégias de seleção baseadas em áreas temáticas de maior relevância ou na demanda social registrada por meio do e-SIC, indicadores previstos na dimensão D21. Embora o PDA contenha um cronograma de publicação, este elemento é avaliado na dimensão D22 (Estratégias e cronograma) e não constitui evidência para a definição de prioridades.
Diante da ausência de uma metodologia de priorização documentada, atribui-se o Nível 1 a esta dimensão. A justificativa para esta classificação fundamenta-se no fato de que, embora um PDA esteja publicado, o componente estratégico de priorização, central para a D21, não foi definido. Tal lacuna indica que o processo de seleção de dados para publicação ocorre de forma não sistematizada, caracterizando um estágio incipiente no que tange ao planejamento da abertura de dados.</t>
  </si>
  <si>
    <t>A consulta à funcionalidade de registro de reúso no Portal Brasileiro de Dados Abertos não identificou aplicações, produtos ou serviços que utilizem o conjunto de dados em análise. A verificação nesta plataforma constitui o procedimento metodológico primário estabelecido pela DGABr 2.0 para a dimensão D25, que foi reformulada para mensurar o reúso efetivo a partir de evidências catalogadas.
A ausência de registros de reutilização fundamenta a atribuição do Nível 0 a esta dimensão. Tal classificação se justifica pela não comprovação de resultados que atendam aos critérios mínimos de pontuação da métrica, que preveem a existência de ao menos uma aplicação desenvolvida para a atribuição do Nível 2.</t>
  </si>
  <si>
    <t>Com base na análise do Plano de Dados Abertos (PDA 2023-2025) e dos portais de dados associados, constata-se a existência de canais de comunicação institucionais, como endereços de e-mail e a identificação do responsável pelo conjunto de dados, além das ferramentas de feedback padrão do Portal Brasileiro de Dados Abertos. Contudo, a documentação consultada, especificamente o PDA, limita-se a descrever esses canais passivos de contato, não apresentando planejamento ou registro de ações proativas de engajamento, como a promoção de eventos, hackathons ou outras iniciativas para fomentar o reúso dos dados pela sociedade civil.
A dimensão D27 da métrica DGABr avalia especificamente a promoção de tais ações de engajamento, e não apenas a disponibilização de canais de comunicação. A ausência de evidências documentais sobre a realização ou o planejamento de atividades dessa natureza fundamenta a atribuição do Nível 0, conforme os critérios da métrica, que definem este nível para situações em que não há definição ou execução do item avaliado.</t>
  </si>
  <si>
    <t>https://dadosabertos.ifmg.edu.br/api/action/package_show?id=cursos-tecnicos-ofertados.</t>
  </si>
  <si>
    <t>https://dadosabertos.ifmg.edu.br/dataset/cursos-tecnicos-ofertados</t>
  </si>
  <si>
    <t>A análise do conjunto de dados indica que sua origem é a Diretoria de Processos Seletivos, setor institucionalmente responsável pelo registro das inscrições e pela oferta de vagas. Não foram identificadas evidências de tratamento interpretativo ou de agregação sobre os dados brutos, que são apresentados em sua granularidade máxima. Este fato caracteriza o conjunto como dados primários, em conformidade com a definição da dimensão D2 da métrica DGABr. O cumprimento integral (100%) dos critérios estabelecidos para esta dimensão fundamenta a atribuição do Nível 5.</t>
  </si>
  <si>
    <t>A análise do PDA da instituição indica frequência anual de atualização para o conjunto “Cursos de Graduação Ofertados”. A verificação do conjunto confirma que as informações disponibilizadas correspondem ao exercício de 2024, demonstrando aderência ao cronograma estabelecido. Embora o órgão tenha cumprido a periodicidade prevista no plano, observa-se que cursos de graduação possuem dinâmica de oferta semestral, o que sugere que a atualização anual não contempla plenamente o potencial informacional do conjunto. Esse descompasso fundamenta a atribuição do Nível 4 para esta dimensão.</t>
  </si>
  <si>
    <t>A análise do conjunto de dados evidencia que os recursos são disponibilizados em formatos estruturados (CSV e JSON), bem como por meio de uma API, o que atende ao critério fundamental de processamento por máquina. Adicionalmente, a observada conformidade com as especificações técnicas do ePING cumpre o requisito introduzido na métrica DGABr 2.0 para os níveis de avaliação mais elevados. A combinação da oferta de múltiplos formatos estruturados, acesso via API e a aderência aos padrões de interoperabilidade governamentais fundamenta a atribuição de um nível de cumprimento integral para esta dimensão.</t>
  </si>
  <si>
    <t>Com base na análise dos pontos de acesso fornecidos, constata-se que o conjunto de dados está disponível publicamente via web e por meio de uma API, sem a requisição de cadastro, login ou qualquer outra forma de autenticação para o acesso aos recursos. A ausência total de barreiras de acesso caracteriza o cumprimento integral do critério de acesso não discriminatório, conforme definido pela dimensão D6 da métrica.
Esta observação fundamenta a atribuição do Nível 5 – Resultados Avançados. A métrica DGABr estipula este nível para os casos em que 100% dos dados são disponibilizados sem a necessidade de identificação do usuário, condição plenamente atendida pelo conjunto de dados avaliado.</t>
  </si>
  <si>
    <t>A análise do conjunto de dados constatou que os recursos são disponibilizados nos formatos CSV e JSON. Ambos os formatos são classificados como não proprietários, atendendo integralmente aos critérios estabelecidos pela dimensão D7 da métrica DGABr. A verificação foi realizada por meio da inspeção direta dos arquivos obtidos tanto na página do conjunto de dados quanto via API.
Uma vez que a totalidade dos formatos oferecidos cumpre o requisito avaliado, a conformidade é de 100%. De acordo com a estrutura da métrica, o cumprimento integral corresponde ao Nível 5, justificando a atribuição deste nível à dimensão.</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</si>
  <si>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"http://dadosabertos.ifmg.edu.br/dataset/b3c3c917-040e-42f9-bc9a-44769fd13f94/resource/f87bdc76-eb19-4af0-8004-37f8d8e60ad3/download/conjunto-de-dados-cursos-de-graduacao-ofertados.csv"</t>
  </si>
  <si>
    <t>Conforme a metodologia da métrica DGABr, o nível desta dimensão não é atribuído por observação direta, mas sim calculado a partir da média aritmética simples dos níveis obtidos nas dez dimensões da perspectiva "Dados Abertos" (D1 a D10). Com base nos níveis registrados para o conjunto de dados em análise, a média resultante é 3,8,0. Desta forma, atribui-se o Nível 4 a esta dimensão.</t>
  </si>
  <si>
    <t>Observa-se que o conjunto de dados é disponibilizado nos formatos CSV e JSON, além de oferecer acesso via API. A utilização desses formatos e do método de acesso está em conformidade com as especificações técnicas recomendadas para a publicação de DGA, conforme estabelecido pela dimensão D15 da métrica. A adesão integral aos padrões indicados, sem evidências de uso de formatos proprietários, fundamenta a atribuição do Nível 5, que corresponde ao cumprimento de 100% do critério avaliado.</t>
  </si>
  <si>
    <t>A análise do conjunto de dados indica a ausência de um metadado específico para a declaração de vocabulário controlado. A avaliação, portanto, foi realizada por meio da inspeção do campo de palavras-chave, onde se constatou o uso dos termos "educação", "educação profissionalizante" e "educação superior". Tais termos são consistentes com o VCGE), o que demonstra uma adesão parcial ao padrão técnico recomendado pela métrica.
Atribui-se o Nível 4 a esta dimensão. A justificativa fundamenta-se no fato de que, embora os termos utilizados nos metadados sejam conformes ao VCGE, a implementação não ocorre por meio de um campo explícito e estruturado para a vinculação ao vocabulário, o que impede a atribuição do nível máximo. A prática observada atende a, no mínimo, 80% do padrão esperado, pois o conteúdo semântico está correto, mas o método de declaração é incompleto.</t>
  </si>
  <si>
    <t>A avaliação da dimensão D19, conforme a métrica, consiste na verificação da conformidade entre a cobertura geográfica estipulada no PDA e a efetivamente implementada no conjunto de dados. O PDA da instituição define a abrangência territorial em nível municipal, detalhando a localização de suas unidades. A análise do conjunto de dados evidencia que a granularidade geográfica é consistente com o planejado, uma vez que os registros identificam o campus e, por conseguinte, o município correspondente.
Com base na correspondência integral entre a especificação geográfica do PDA e a granularidade dos dados publicados, atribui-se o Nível 5 a esta dimensão. A evidência demonstra o cumprimento de 100% do critério estabelecido, alinhando-se à definição para o nível máximo de avaliação.</t>
  </si>
  <si>
    <t>A consulta ao registro de reúso no Portal Brasileiro de Dados Abertos, conforme a metodologia da DGABr 2.0, não retornou evidências de aplicações que utilizem o conjunto de dados em análise. A avaliação da dimensão D26 (Quantidade de conjuntos de dados utilizados) é conceitualmente dependente da identificação prévia de ao menos uma aplicação na dimensão D25 (Quantidade de aplicações desenvolvidas).
Dada a ausência de aplicações registradas que façam uso deste conjunto de dados, a contagem de *datasets* reutilizados é nula. Em conformidade com a estrutura da métrica, que define o Nível 0 como "Inexistente" para situações em que o item avaliado não é localizado, justifica-se a atribuição deste nível à dimensão.</t>
  </si>
  <si>
    <t>Com base na análise do PDA e dos portais institucionais, verifica-se que a instituição disponibiliza canais de comunicação, como endereços de e-mail e a identificação do responsável pelo conjunto de dados. Adicionalmente, são observadas as ferramentas de feedback padrão da plataforma dados.gov.br. Contudo, a dimensão D27 da métrica DGABr avalia especificamente a promoção de ações proativas de engajamento, como eventos, hackathons ou consultas públicas, destinadas a incentivar o reúso dos dados pela sociedade civil.
A documentação consultada, em especial o PDA, descreve apenas os canais de comunicação passivos, sem apresentar evidências de planejamento ou execução de iniciativas de engajamento ativo. A disponibilização de contatos para suporte e correção de falhas alinha-se mais diretamente aos critérios da dimensão D23 (Manutenção e correção). Diante da ausência de evidências que demonstrem o cumprimento dos requisitos específicos da D27, atribui-se o Nível 0 a esta dimensão.</t>
  </si>
  <si>
    <t>https://dados.gov.br/dados/conjuntos-dados/cursos-de-graduacao-ofertados</t>
  </si>
  <si>
    <t>https://dadosabertos.ifmg.edu.br/api/action/package_show?id=cursos-de-graduacao-ofertados</t>
  </si>
  <si>
    <t>https://dadosabertos.ifmg.edu.br/dataset/cursos-de-graduacao-ofertados</t>
  </si>
  <si>
    <t>A análise do conjunto de dados "Cursos de Pós-Graduação Lato Sensu do IFMG" indica a disponibilização de informações referentes ao ano de 2024, em conformidade com a frequência de atualização anual estabelecida no PDA. Contudo, a dimensão D1 (Dados completos) avalia a completude da série histórica, e não apenas a existência de dados para o período corrente. A ausência de dados de 2025 caracteriza a publicação como um subconjunto do escopo temporal potencial do programa.
É importante também salientar que o o conjutno de dados não é completo já que apresenta somente os campos: -  Campus, nome do curso e egressos, o que é bem inferior as informações sobre os outros cursos listados em outros conjunto de dados.
Considerando que apenas uma fração da série histórica está presente, o critério de completude é atendido de forma parcial. A métrica DGABr estabelece o Nível 1 para o cumprimento o caso em que o orgão somente publica os dados e não possui critérios para avaliar se os mesmos são completos.</t>
  </si>
  <si>
    <t>A análise do conjunto de dados evidencia que as informações são originárias da fonte institucional responsável pelo registro de inscrições e oferta de vagas. Não foram identificadas evidências de tratamento interpretativo ou de agregação, o que alinha o conjunto de dados ao critério de dados primários (D2) da métrica DGABr. Diante da conformidade integral com o critério de granularidade máxima e origem direta da fonte, justifica-se a atribuição do Nível 5.</t>
  </si>
  <si>
    <t>A análise do PDA do IFMG indica que a frequência de atualização estabelecida para o conjunto de dados é anual. Constata-se que o recurso publicado contém informações referentes ao ano de 2024, o que demonstra conformidade com o cronograma definido no plano. A evidência aponta para o cumprimento integral da periodicidade de atualização documentada, que é o critério central de avaliação para a dimensão D3.
Embora o órgão tenha cumprido a periodicidade prevista no plano, observa-se que cursos de pós-graduação latu sensu possuem dinâmica de oferta semestral, o que sugere que a atualização anual não contempla plenamente o potencial informacional do conjunto. Esse descompasso fundamenta a atribuição do Nível 4 para esta dimensão.</t>
  </si>
  <si>
    <t>A verificação do conjunto de dados, por meio de seu portal web e da API, demonstrou que o acesso aos recursos é público e irrestrito. A análise confirmou a ausência de barreiras como a necessidade de cadastro, autenticação ou qualquer forma de registro prévio para o download dos arquivos.
Esta condição atende integralmente ao critério estabelecido para a dimensão D6 (Acesso não discriminatório), que avalia a disponibilidade dos dados a todos os usuários sem distinção. Em conformidade com a métrica DGABr 2.0, que define o cumprimento de 100% do padrão como requisito para o nível máximo, atribui-se o Nível 5 a esta dimensão.</t>
  </si>
  <si>
    <t>A análise do conjunto de dados revela uma inconsistência entre os formatos de arquivo declarados nos metadados e o recurso efetivamente disponibilizado. Embora o portal de dados e a API informem a existência de arquivos nos formatos não proprietários CSV e JSON, a verificação empírica demonstrou que todos os links de acesso direcionam para um único arquivo no formato XLSX, que é classificado como proprietário.
Conforme a estrutura da métrica DGABr, a existência de uma recomendação ou padrão definido pela instituição que não é seguido na publicação dos dados caracteriza o Nível 2. Uma vez que a instituição declara a intenção de publicar em formatos abertos mas, na prática, disponibiliza apenas um formato proprietário, o cumprimento da dimensão é nulo. Desta forma, atribui-se o Nível 2 a esta dimensão, pois a norma estabelecida nos metadatos não foi executada.</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</si>
  <si>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e o nome do conjunto de dados não é descrito na URL.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"http://dadosabertos.ifmg.edu.br/dataset/30f158c8-7cc3-4588-84be-968c9b494d68/resource/32f225d0-abf9-416a-ae4c-895edcaee430/download/relatorio_convenios-ativos-no-ifmg_ate_25-10-2024.xls"</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</si>
  <si>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e o nome do conjunto de dados não é descrito na URL.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"http://dadosabertos.ifmg.edu.br/dataset/a43234b0-8c60-4777-8b38-55857ba548ca/resource/ec01ced3-753d-4921-84fd-7cb78496f5cb/download/dados-abertos-25-10-2024.xlsx"</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</si>
  <si>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"http://dadosabertos.ifmg.edu.br/dataset/8bda23f1-4d6a-4732-80f1-950e5edfa902/resource/9e4553a0-ffe0-4a15-9cb7-cd6881c91b95/download/relacao-dos-cursos-de-pos-graduacao-lato-sensu.xlsx"</t>
  </si>
  <si>
    <t>O PDA da instituição define sua abrangência territorial como estadual, com detalhamento das unidades distribuídas em múltiplos municípios. A análise do conjunto de dados `pos_graduacao_lato_sensu` evidencia que a granularidade geográfica estipulada é implementada, uma vez que cada registro de curso inclui a identificação do campus, permitindo a associação direta ao respectivo município. A correspondência integral entre a cobertura geográfica definida no PDA e a segmentação presente nos dados publicados demonstra o cumprimento de 100% do critério estabelecido pela dimensão. Consequentemente, atribui-se o Nível 5, em conformidade com a escala de avaliação da métrica.</t>
  </si>
  <si>
    <t>Não foram identificadas evidências de aplicações que utilizem o conjunto de dados em análise, conforme verificado no registro de reúso do Portal Brasileiro de Dados Abertos. A métrica DGABr 2.0, em sua dimensão D26 (Quantidade de conjuntos de dados utilizados), mensura quantos conjuntos de dados distintos de uma instituição são empregados em uma aplicação previamente identificada na dimensão D25. Dado que não foi localizada nenhuma aplicação, a contagem de conjuntos de dados reutilizados é nula. Por conseguinte, atribui-se o Nível 0 a esta dimensão.
A avaliação da dimensão D26 é dependente da existência de ao menos uma aplicação registrada que reutilize os dados da instituição. A ausência de registros de reúso no portal oficial constitui uma lacuna de evidência que impede a atribuição de um nível superior, uma vez que o critério de mensuração não pode ser aplicado.</t>
  </si>
  <si>
    <t>A análise documental do PDA e dos portais de dados associados identificou a existência de canais de comunicação, como endereços de e-mail institucionais, a identificação do responsável pelo conjunto de dados e as ferramentas de feedback padrão da plataforma dados.gov.br. Contudo, não foram localizadas evidências de ações proativas de engajamento, como a promoção de eventos, hackathons ou a manutenção de portais específicos para o fomento ao reúso, conforme preconizado pela dimensão D27 da métrica.
A ausência de iniciativas documentadas para o engajamento da sociedade civil justifica a atribuição do Nível 0. De acordo com a estrutura da DGABr, a mera disponibilização de canais de contato não configura uma ação de engajamento, a qual pressupõe a promoção ativa de atividades que incentivem a utilização e o reúso dos DGA.</t>
  </si>
  <si>
    <t>https://dadosabertos.ifmg.edu.br/dataset/pos_graduacao_lato_sensu</t>
  </si>
  <si>
    <t>https://dados.gov.br/dados/conjuntos-dados/pos_graduacao_lato_sensu</t>
  </si>
  <si>
    <t>https://dadosabertos.ifmg.edu.br/api/action/package_show?id=pos_graduacao_lato_sensu</t>
  </si>
  <si>
    <t xml:space="preserve">Itens Observados </t>
  </si>
  <si>
    <t>https://dadosabertos.ifmg.edu.br/dataset/cursos_mestrado_2024</t>
  </si>
  <si>
    <t>https://dadosabertos.ifmg.edu.br/api/action/package_show?id=cursos_mestrado_2024</t>
  </si>
  <si>
    <t>https://dados.gov.br/dados/conjuntos-dados/cursos_mestrado_2024</t>
  </si>
  <si>
    <t>Constatou-se que o conjunto de dados cumpre integralmente os requisitos da dimensão D4. A verificação empírica confirmou a acessibilidade pública dos recursos via interface web e por meio de uma API, sem a exigência de cadastro, autenticação ou qualquer outra forma de identificação para a recuperação dos dados. A disponibilidade de 100% dos dados por múltiplos canais de acesso direto e irrestrito fundamenta a atribuição do Nível 5, em conformidade com os critérios da métrica DGABr para resultados avançados.</t>
  </si>
  <si>
    <t>Constata-se que o conjunto de dados é composto por dados primários, visto que sua geração é atribuída à instituição responsável pelo registro das informações, sem evidências de tratamento interpretativo ou agregação. Dessa forma, o atendimento integral aos critérios da dimensão D2, que avalia a ausência de agregações e a proveniência direta da fonte, fundamenta a atribuição do Nível 5.</t>
  </si>
  <si>
    <t>A avaliação da dimensão D3 teve como base o PDA do IFMG e o conjunto de dados “Cursos de Mestrado do IFMG”. O plano define frequência anual de atualização para esse conjunto, o que se mostra compatível com a dinâmica de oferta dos cursos, também anual. Essa correspondência indica que as informações disponibilizadas estão atualizadas de forma adequada, permitindo atribuir o nível 5 para a dimensão.</t>
  </si>
  <si>
    <t>O acesso ao conjunto de dados ocorre de forma pública e irrestrita, sendo disponibilizado tanto por meio de sua página web quanto via API. A verificação dos pontos de acesso indicados confirma a ausência de barreiras, como a exigência de cadastro, login ou qualquer outra forma de identificação para o download dos recursos. Esta conformidade integral com o princípio avaliado na dimensão D6 fundamenta a atribuição do Nível 5, uma vez que o requisito de acesso não discriminatório é cumprido em sua totalidade, conforme os critérios da métrica DGABr.</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</si>
  <si>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"http://dadosabertos.ifmg.edu.br/dataset/a23360a5-b7d3-4fe2-b12c-c1f14071a7ac/resource/88586558-a0ce-414d-aae2-def7913b7b77/download/cursos-de-mestrado-do-ifmg.xlsx"</t>
  </si>
  <si>
    <t>O nível atribuído à dimensão D16 (Qualidade dos Dados) não resulta de uma avaliação direta, mas de um cálculo estipulado pela metodologia DGABr. Conforme a métrica, seu valor corresponde à média aritmética simples dos níveis obtidos nas dez dimensões da perspectiva "Dados Abertos" (D1 a D10). Na presente avaliação, os níveis registrados para essas dimensões resulta em um valor de 3,2. De acordo com o procedimento de cálculo da métrica, que utiliza a parte inteira do resultado, o valor final atribuído à dimensão é o Nível 3.</t>
  </si>
  <si>
    <t>A avaliação da dimensão D18 (Vocabulário) foi conduzida a partir da análise das palavras-chave associadas ao conjunto de dados, dada a ausência de um metadado específico para vocabulário controlado. A verificação indicou que o termo "educação" consta no VCGE, enquanto os demais termos ("especialização", "lato sensu" e "pós-graduação") não foram localizados no referido padrão.
Atribui-se o Nível 4 a esta dimensão. A justificativa fundamenta-se no fato de que, embora um termo utilizado nos metadados seja conforme ao VCGE, a implementação não ocorre por meio de um campo explícito e estruturado para a vinculação ao vocabulário, o que impede a atribuição do nível máximo.</t>
  </si>
  <si>
    <t>A análise do conjunto de dados evidencia a ausência de um metadado específico para vocabulário controlado. A avaliação foi, portanto, conduzida a partir das palavras-chave associadas ao conjunto: 'educação', 'mestrado' e 'stricto sensu'. Da verificação de conformidade com o VCGE, constatou-se que apenas o termo 'educação' integra o referido padrão, enquanto os demais não são por ele contemplados.
Atribui-se o Nível 4 a esta dimensão. A justificativa fundamenta-se no fato de que, embora um termo utilizado nos metadados seja conforme ao VCGE, a implementação não ocorre por meio de um campo explícito e estruturado para a vinculação ao vocabulário, o que impede a atribuição do nível máximo.</t>
  </si>
  <si>
    <t>A análise documental do PDA indica que a abrangência geográfica da instituição é definida como estadual, com a distribuição de suas unidades detalhada por município. Em conformidade com essa definição, o conjunto de dados examinado apresenta, para cada registro, a identificação do campus, permitindo a associação direta à sua respectiva localização municipal.
Constata-se, portanto, o alinhamento integral entre a cobertura geográfica estipulada no PDA e a granularidade implementada no conjunto de dados. Essa conformidade de 100% com o critério estabelecido para a dimensão D19 fundamenta a atribuição do Nível 5, conforme a escala de avaliação da métrica DGABr.</t>
  </si>
  <si>
    <t>Constata-se que o conjunto de dados está previsto no PDA da instituição, com um cronograma que estabelecia sua publicação para outubro de 2023. A evidência documental indica que a disponibilização do referido conjunto ocorreu em setembro de 2024, configurando um descumprimento do prazo definido.
De acordo com a estrutura da métrica DGABr, o Nível 2 é atribuído quando existe um instrumento normativo ou de planejamento, como o PDA, mas seus compromissos e metas não são cumpridos. Portanto, o atraso na publicação do conjunto de dados fundamenta a atribuição deste nível à dimensão D22.</t>
  </si>
  <si>
    <t>Constatou-se, por meio de consulta à funcionalidade de registro de reúso no Portal Brasileiro de Dados Abertos, a ausência de aplicações, produtos ou serviços que utilizem o conjunto de dados em análise. A DGABr 2.0, em sua reformulação da dimensão D25, adota este registro como a principal fonte de evidência para a mensuração do reúso efetivo.
Diante da inexistência de registros, atribui-se o Nível 0 a esta dimensão. A justificativa fundamenta-se na estrutura de avaliação da métrica, que define o Nível 2 como o patamar mínimo para a identificação de ao menos uma aplicação desenvolvida. A ausência total de evidências de reúso corresponde, portanto, à definição do nível inicial da escala.</t>
  </si>
  <si>
    <t>A análise do PDA evidencia a descrição de canais de comunicação com a sociedade civil, como e-mail e o portal institucional. No entanto, não foram identificadas no documento menções a ações proativas de engajamento, como a promoção de eventos ou o desenvolvimento de sistemas específicos para interação com a comunidade de usuários, que constituem o escopo da dimensão D27.
As ferramentas de feedback disponíveis na plataforma dados.gov.br e a identificação de contatos institucionais, embora existentes, são caracterizadas como mecanismos de comunicação e manutenção, não se configurando como ações de promoção de reúso. A ausência de evidências documentais sobre a promoção ativa do engajamento da sociedade civil para o reúso dos dados justifica a atribuição do Nível 0 a esta dimensão, em conformidade com a metodologia da métrica DGABr.</t>
  </si>
  <si>
    <t>A verificação no Portal Brasileiro de Dados Abertos, conforme a metodologia prevista na DGABr 2.0, não identificou o registro de aplicações, produtos ou serviços que reutilizem o conjunto de dados em análise. A dimensão D28 avalia se os produtos gerados a partir dos DGA informam explicitamente aos seus usuários a fonte dos dados e a frequência de sua atualização. Visto que a existência de tais produtos é um pré-requisito para esta avaliação, a ausência de evidências de reúso impede a análise do critério. Diante da inexistência de um objeto de avaliação, atribui-se o Nível 0 a esta dimensão, em conformidade com a estrutura da métrica.</t>
  </si>
  <si>
    <t>A análise do conjunto de dados "Candidatos e Vagas nos Processos Seletivos de Cursos de Graduação" evidencia uma incompletude em duas frentes. Primeiramente, no aspecto temporal, observa-se a ausência de dados referentes ao primeiro semestre de 2025, em desacordo com a frequência de atualização semestral estabelecida no PDA da instituição. Em segundo lugar, a completude estrutural é comprometida pela apresentação de informações de forma agregada. A publicação de quantitativos consolidados, sem o detalhamento granular dos dados primários, inviabiliza o potencial de reúso informacional, um requisito central da métrica.
Considerando a ausência de uma série histórica contínua e a falta de granularidade, o conjunto de dados não atende à definição de "dados completos". Com base nessas evidências, que indicam o não cumprimento dos critérios mínimos para a dimensão, atribui-se o Nível 0, conforme os parâmetros da métrica DGABr.</t>
  </si>
  <si>
    <t>A análise do conjunto de dados indica que, embora sejam gerados pela unidade organizacional responsável (Diretoria de Processos Seletivos), os dados são disponibilizados de forma agregada. A dimensão D2 (Dados primários) da métrica DGABr avalia a publicação de dados em seu nível máximo de granularidade, sem a aplicação de agregações ou modificações que alterem sua forma bruta. A constatação de que os dados são agregados contradiz diretamente o critério fundamental desta dimensão.
Consequentemente, atribui-se o Nível 0, em conformidade com a definição da métrica para conjuntos de dados que não cumprem o requisito avaliado. A justificativa se alinha ao critério de que dados não primários, por definição, não atendem à dimensão, independentemente de sua integridade ou origem.</t>
  </si>
  <si>
    <t>A análise do conjunto de dados "Candidatos e Vagas nos Processos Seletivos de Cursos de Graduação" e do PDA do IFMG (vigência 2023-2025) fundamenta a avaliação. O referido PDA estabelece uma frequência de atualização semestral para este conjunto de dados. Como o IFMG oferece cursos de Graduação com dinámica de ingressos semestralmente essa atualização é condizente com nível 5.</t>
  </si>
  <si>
    <t>Constatou-se que o conjunto de dados é acessível publicamente via web, não sendo exigido cadastro, login ou qualquer outra forma de identificação para o acesso. Adicionalmente, verificou-se a disponibilização de uma API, cuja funcionalidade para download dos dados foi confirmada. A evidência demonstra o cumprimento integral (100%) dos critérios estabelecidos para a dimensão D4 (Dados acessíveis), que avalia se os dados estão disponíveis sem barreiras de acesso.
A ausência total de restrições, alinhada à disponibilização de múltiplos meios de acesso (direto e via API), fundamenta a atribuição do Nível 5. Esta classificação é consistente com a definição da métrica DGABr, que reserva o nível máximo para os casos em que 100% dos padrões e recomendações definidos para a dimensão são atendidos.</t>
  </si>
  <si>
    <t>A análise do conjunto de dados evidenciou que o acesso aos recursos é público e irrestrito, sendo disponibilizado tanto por meio de sua página web quanto via API. A verificação dos pontos de acesso indicados confirmou a ausência de barreiras, como a exigência de cadastro, login ou qualquer outra forma de autenticação para o download dos dados.
A completa aderência ao critério de acesso não discriminatório, observada em todos os canais de distribuição disponíveis, justifica a atribuição do Nível 5. De acordo com a estrutura da métrica DGABr, este nível é designado quando há cumprimento integral (100%) da dimensão avaliada.</t>
  </si>
  <si>
    <t>Constatou-se que os recursos do conjunto de dados são disponibilizados em formatos não proprietários. A verificação dos arquivos para download e da resposta da API indicou o uso exclusivo dos formatos CSV e JSON. Durante a verificação dos arquivos, identificou-se uma inconformidade pontual: um dos recursos, cujo conteúdo corresponde ao formato CSV, foi nomeado com a extensão incorreta `.xlsx`. Uma vez que a totalidade dos formatos oferecidos atende ao critério da dimensão D7, atribui-se o Nível 5, em conformidade com a exigência de 100% de cumprimento para esta classificação.
A referida falha, embora não comprometa a processabilidade do dado após a correção do nome do arquivo, ou até do uso do arquivo JSON, representa um desvio do padrão esperado e impede a atribuição do Nível 5, que exige 100% de conformidade. Contudo, por se tratar de uma ocorrência isolada que não afeta a totalidade dos recursos disponibilizados, considera-se que o critério de, no mínimo, 80% de adequação foi satisfeito. Desta forma, atribui-se o Nível 4, conforme a escala percentual definida pela métrica.</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</si>
  <si>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"http://dadosabertos.ifmg.edu.br/dataset/8e24ca57-6868-4f37-b268-0d297552bee9/resource/685d6664-20ee-44f0-bf01-555457f0718f/download/candidatos-e-vagas-cursos-de-graduacao-2024-2"</t>
  </si>
  <si>
    <t>Constata-se que o conjunto de dados é disponibilizado em múltiplos formatos, especificamente CSV e JSON, e que o acesso também é viabilizado por meio de uma API. Tais métodos de distribuição estão em conformidade com os padrões técnicos recomendados para a publicação de DGA no Brasil, os quais privilegiam formatos estruturados, processáveis por máquina e não proprietários.
A disponibilização exclusiva em formatos que atendem a esses critérios evidencia o cumprimento integral dos requisitos desta dimensão. Portanto, atribui-se o Nível 5, classificação correspondente à aderência de 100% dos recursos de dados aos padrões definidos pela métrica.</t>
  </si>
  <si>
    <t>Com base na metodologia da métrica DGABr, o nível da dimensão D16 (Qualidade dos Dados) não é atribuído por observação direta, mas determinado por cálculo. O valor corresponde à média aritmética dos níveis obtidos nas dez dimensões (D1 a D10) que compõem a perspectiva "Dados Abertos".
Para o conjunto de dados em análise, a soma dos níveis atribuídos a essas dimensões totalizou 27, resultando em uma média de 2,7. O arredondamento do valor para o número inteiro mais próximo fundamenta a atribuição do Nível 3 para esta dimensão.</t>
  </si>
  <si>
    <t>A análise do conjunto de dados não identificou um metadado específico que declarasse formalmente o uso de um vocabulário controlado. Em decorrência dessa ausência, a avaliação procedeu à inspeção do campo de palavras-chave, onde se constatou o uso dos termos "educação", "educação profissionalizante" e "educação superior". Verificou-se que todos os termos utilizados constam no VCGE, indicando uma aderência semântica ao padrão recomendado pela perspectiva técnica da métrica.
Atribui-se o Nível 4 a esta dimensão. A justificativa fundamenta-se no fato de que, embora um termo utilizado nos metadados seja conforme ao VCGE, a implementação não ocorre por meio de um campo explícito e estruturado para a vinculação ao vocabulário, o que impede a atribuição do nível máximo.</t>
  </si>
  <si>
    <t>A avaliação desta dimensão verifica se a cobertura geográfica dos dados publicados está em conformidade com o escopo estipulado no PDA, conforme o critério da métrica DGABr. A documentação do PDA define a abrangência da instituição em nível municipal. A análise do conjunto de dados evidencia que os registros contêm informações que permitem a identificação do campus e, por consequência, do município correspondente. Constata-se, portanto, que a granularidade geográfica implementada no conjunto de dados é consistente com a especificação documental.
Dado que a cobertura geográfica observada no conjunto de dados corresponde integralmente (100%) àquela definida no PDA, atribui-se o Nível 5. A justificativa se fundamenta na conformidade total entre o planejado e o executado, atendendo plenamente ao requisito da dimensão D19. A ausência de divergências entre a especificação e a implementação do escopo geográfico sustenta a atribuição do nível máximo para este item.</t>
  </si>
  <si>
    <t>Constata-se que os conjuntos de dados estão catalogados no portal institucional (`dadosabertos.ifmg.edu.br`) e, de forma determinante para esta avaliação, no Portal Brasileiro de Dados Abertos. A presença no catálogo nacional atende integralmente ao critério definido pela dimensão D20 da métrica DGABr. Com base nesta evidência, atribui-se o Nível 5, pois o requisito de catalogação em âmbito nacional foi cumprido em sua totalidade (100%). A existência de um portal próprio é registrada como uma prática adicional que, embora relevante, não altera a avaliação do critério principal para esta dimensão.</t>
  </si>
  <si>
    <t>A análise documental do PDA da instituição confirma a previsão de publicação do conjunto de dados avaliado, incluindo um cronograma que estipulava sua disponibilização para abril de 2024. A verificação da data efetiva de publicação, no entanto, aponta que a disponibilização ocorreu em setembro de 2024.
Este cenário caracteriza um descumprimento do cronograma definido no plano, o que corresponde à definição da métrica DGABr para o Nível 2. Conforme a metodologia, este nível é atribuído quando a instituição possui uma norma ou recomendação formalizada, como um cronograma no PDA, mas a execução não adere aos prazos estabelecidos. O atraso na publicação constitui, portanto, a evidência objetiva para a atribuição deste nível.</t>
  </si>
  <si>
    <t>A verificação realizada no Portal Brasileiro de Dados Abertos não identificou registros de reúso para o conjunto de dados avaliado. A ausência de aplicações, produtos ou serviços desenvolvidos que utilizem os dados em questão impede a pontuação na dimensão D25 (Quantidade de aplicações desenvolvidas). Consequentemente, a dimensão D26 (Quantidade de conjuntos de dados utilizados), que mensura a quantidade de *datasets* empregados em uma aplicação previamente identificada, também não pode ser pontuada.
Em conformidade com a estrutura da métrica DGABr 2.0, a inexistência de evidências de reúso efetivo justifica a atribuição do Nível 0 para ambas as dimensões. Este resultado indica uma lacuna na materialização do potencial de reúso, um dos objetivos centrais da política de dados abertos, conforme mensurado pela perspectiva de Reúso.</t>
  </si>
  <si>
    <t>Com base na análise do PDA e dos portais institucionais, constata-se a disponibilização de canais de comunicação, como e-mail e a identificação do responsável pelo conjunto de dados. No entanto, o PDA limita-se a descrever esses canais, sem apresentar um planejamento ou registro de ações proativas de engajamento com a sociedade civil, tais como a promoção de eventos, hackathons ou o desenvolvimento de sistemas específicos para fomentar o reúso, conforme preconiza a dimensão D27. As ferramentas de feedback existentes no Portal Brasileiro de Dados Abertos são funcionalidades da plataforma e não constituem evidência de uma iniciativa promovida pelo próprio órgão.
A ausência de evidências documentais sobre a definição ou execução de estratégias de engajamento fundamenta a atribuição do Nível 0. Esta classificação é consistente com os critérios da métrica DGABr, que estabelecem o Nível 0 para situações em que não há definição ou implementação do item avaliado por parte da instituição.</t>
  </si>
  <si>
    <t>Não se identificou a existência de aplicações, produtos ou serviços que reutilizem o conjunto de dados em análise, conforme verificação nos registros de reúso do Portal Brasileiro de Dados Abertos. A ausência de aplicações que comprovem o reúso, avaliada na dimensão D25, constitui um impedimento técnico para a análise da dimensão D28, cujo objetivo é verificar se os produtos gerados informam sobre as fontes de DGA utilizadas. Visto que o pressuposto para a avaliação não foi satisfeito, atribui-se o Nível 0 a esta dimensão, em conformidade com a estrutura metodológica da métrica DGABr.</t>
  </si>
  <si>
    <t>https://dados.gov.br/dados/conjuntos-dados/candidatos-e-vagas-nos-processos-seletivos-de-cursos-de-graduacao</t>
  </si>
  <si>
    <t>https://dadosabertos.ifmg.edu.br/dataset/candidatos-e-vagas-nos-processos-seletivos-de-cursos-de-graduacao</t>
  </si>
  <si>
    <t>https://dadosabertos.ifmg.edu.br/api/action/package_show?id=candidatos-e-vagas-nos-processos-seletivos-de-cursos-de-graduacao</t>
  </si>
  <si>
    <t>O conjunto de dados é gerado pela Coordenadoria de Registro Acadêmico, unidade institucional responsável pelo registro primário das informações de inscrições e oferta de vagas. A análise da estrutura e do conteúdo dos dados não revela a aplicação de agregações, modificações ou tratamentos interpretativos, indicando que os dados são disponibilizados em sua granularidade máxima. Tais características correspondem à definição de dados primários da métrica DGABr 2.0, o que fundamenta a atribuição do Nível 5, por representar o cumprimento integral do critério.</t>
  </si>
  <si>
    <t>Constata-se que o conjunto de dados "Disciplinas dos Cursos de Graduação" não se encontra inventariado no PDA. Esta ausência impede a aferição da sua conformidade temporal, pois não há um parâmetro de frequência de atualização formalmente estabelecido para este recurso específico, conforme preconiza a dimensão D3. Embora o conjunto contenha informações referentes ao primeiro semestre de 2024, a inexistência de um compromisso documentado no PDA caracteriza uma lacuna na definição do item avaliado.
Diante da ausência de uma frequência de atualização definida no instrumento de planejamento, o que inviabiliza a verificação do cumprimento, atribui-se o Nível 0. A métrica DGABr, em sua dimensão D3, avalia a execução de uma periodicidade previamente declarada, requisito que não pode ser verificado neste caso, alinhando-se à justificativa de nível em que a instituição não possui definição para o item avaliado.</t>
  </si>
  <si>
    <t>Verifica-se que o conjunto de dados cumpre os requisitos da dimensão D4 (Dados acessíveis), pois está disponível para acesso público via web sem a exigência de cadastro, login ou qualquer outra forma de identificação. A existência de uma API, conforme evidenciado no teste de acesso documentado, reforça a ausência de barreiras técnicas e permite a recuperação automatizada dos dados, o que é consistente com os princípios fundamentais de dados abertos.
Com base nessas observações, atribui-se o Nível 5 a esta dimensão. A justificativa para tal nível reside no cumprimento integral (100%) do critério estabelecido pela métrica, que define o grau máximo de acessibilidade como a disponibilização dos dados de forma irrestrita e direta.</t>
  </si>
  <si>
    <t>Constata-se que o conjunto de dados é disponibilizado para acesso público por meio de interface web e por uma API, conforme os endereços eletrônicos fornecidos como evidência. A verificação de ambos os pontos de acesso demonstra que o download dos recursos não requer cadastro, login ou qualquer outra forma de identificação prévia do usuário.
O acesso irrestrito, tanto para consumo humano (via portal) quanto automatizado (via API), cumpre integralmente os critérios definidos para a dimensão D6. Portanto, atribui-se o Nível 5, em conformidade com a métrica DGABr, que estipula este nível para dados disponibilizados sem barreiras discriminatórias de acesso.</t>
  </si>
  <si>
    <t>A análise do conjunto de dados evidencia que os arquivos são disponibilizados nos formatos CSV e JSON. A verificação dos recursos, acessados tanto por download direto quanto via API, confirma que ambos os formatos são classificados como não proprietários, atendendo aos critérios estabelecidos pela métrica DGABr para a dimensão D7. Visto que a totalidade (100%) dos formatos oferecidos cumpre o requisito, atribui-se o Nível 5, que corresponde à execução integral do padrão avaliado.</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</si>
  <si>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"http://dadosabertos.ifmg.edu.br/dataset/82ba4ef8-1d20-4af5-862e-4ef3f8a24663/resource/1e501e0d-e5b1-4be8-8017-7911ce2233e7/download/conjunto-de-dados-disciplinas-dos-cursos-de-graduacao.csv"</t>
  </si>
  <si>
    <t>Constata-se que o conjunto de dados é disponibilizado nos formatos CSV e JSON, ambos estruturados, processáveis por máquina e não proprietários. Adicionalmente, é oferecido acesso aos dados por meio de uma API, o que representa uma forma avançada de disponibilização. A utilização de múltiplos formatos recomendados pelos padrões de interoperabilidade brasileiros, abrangendo tanto arquivos estáticos quanto acesso dinâmico, evidencia o cumprimento integral dos critérios estabelecidos pela métrica para esta dimensão. Dessa forma, atribui-se o Nível 5, correspondente ao atendimento de 100% das especificações.</t>
  </si>
  <si>
    <t>Conforme a metodologia da métrica DGABr, o nível da dimensão D16 (Qualidade dos Dados) não é determinado por avaliação direta, mas sim calculado a partir da média aritmética dos níveis obtidos nas dez dimensões da perspectiva "Dados Abertos" (D1 a D10). A atribuição do nível fundamenta-se, portanto, nos resultados parciais da referida perspectiva.
A evidência para o cálculo consiste nos seguintes níveis registrados para as dimensões de D1 a D10. A aplicação da fórmula de média aritmética resulta no valor de 2,9. Com base neste resultado, atribui-se o Nível 3 para a dimensão.</t>
  </si>
  <si>
    <t>Constata-se a ausência de um metadado específico que declare formalmente o uso de um vocabulário controlado para o conjunto de dados. Contudo, a análise das palavras-chave associadas evidencia a utilização de termos que integram o VCGE), a saber: "educação", "educação profissionalizante" e "educação superior". A aplicação de termos do VCGE nas palavras-chave, sem a devida declaração explícita nos metadados, caracteriza uma implementação parcial da recomendação técnica.
Esta conformidade semântica parcial, aliada à lacuna na declaração formal, justifica a atribuição do Nível 4. A ausência da declaração explícita do vocabulário compromete a interoperabilidade e a descoberta automatizada dos dados, impedindo o atendimento integral ao padrão exigido para os níveis superiores da métrica.</t>
  </si>
  <si>
    <t>A cobertura geográfica do conjunto de dados, conforme estipulado no PDA, é de abrangência estadual com granularidade em nível municipal. A verificação do conjunto de dados evidencia que os registros incluem a identificação do campus e, consequentemente, do município correspondente, o que permite a segmentação espacial da informação.
A atribuição do Nível 5 justifica-se pela correspondência integral (100%) entre a dimensão geográfica definida no planejamento e a granularidade efetivamente implementada nos dados publicados. Este alinhamento atende plenamente ao critério da dimensão D19, que avalia se a cobertura geográfica dos dados está de acordo com o que foi estipulado no PDA.</t>
  </si>
  <si>
    <t>A verificação da catalogação dos conjuntos de dados evidencia a sua presença tanto em um portal institucional (`dadosabertos.ifmg.edu.br`) quanto no Portal Brasileiro de Dados Abertos. A publicação no repositório nacional cumpre integralmente o requisito da dimensão D20, que estabelece a necessidade de catalogação no `dados.gov.br` para garantir a centralização e a encontrabilidade dos dados governamentais.
Em função do atendimento de 100% do critério avaliado, atribui-se o Nível 5. A justificativa para esta classificação reside na conformidade total com a recomendação técnica da métrica, que considera a catalogação no portal central como a prática esperada para o mais alto grau de maturidade nesta dimensão.</t>
  </si>
  <si>
    <t>Com base na análise do PDA da instituição, constata-se a existência de um cronograma de publicação, porém não foram identificados critérios formais para a priorização da abertura de conjuntos de dados. A documentação não apresenta uma estratégia baseada em áreas temáticas de maior relevância ou em dados mais solicitados pela sociedade, como os registrados via e-SIC, que são exemplos de critérios previstos pela métrica DGABr para a dimensão D21. A ausência desses elementos indica que o processo de seleção dos dados a serem publicados não segue uma metodologia documentada e explícita.
Diante do exposto, atribui-se o Nível 1 a esta dimensão. A justificativa para tal nível se baseia na premissa de que a elaboração de um cronograma, mesmo sem critérios de priorização definidos, representa um estágio inicial de planejamento. Contudo, registra-se que a ausência completa de uma estratégia de priorização, conforme observado, aproxima a avaliação do Nível 0, caso se confirme que não há qualquer estudo ou norma em desenvolvimento para a definição de tais critérios.</t>
  </si>
  <si>
    <t>Constata-se a existência de um PDA institucional que estabelece um cronograma para a publicação de DGA. Contudo, a análise documental indica que o conjunto de dados em avaliação não está inventariado no referido plano. Dessa forma, a publicação do conjunto não adere ao cronograma definido, caracterizando o não cumprimento do planejamento estabelecido. Esta desconformidade entre o plano existente e a execução justifica a atribuição do nível correspondente a "Não executado", conforme os critérios da métrica DGABr 2.0.</t>
  </si>
  <si>
    <t>A verificação foi realizada por meio de consulta à funcionalidade de registro de reúso no Portal Brasileiro de Dados Abertos, conforme preconizado pela metodologia da DGABr 2.0 para a dimensão D25. Na plataforma, não foram identificados registros de aplicações, produtos, serviços ou outros sistemas que utilizem o conjunto de dados em análise. A ausência de evidências de reúso efetivo, que constitui o objeto de avaliação desta dimensão, fundamenta a atribuição do Nível 0.</t>
  </si>
  <si>
    <t>Com base nos documentos de referência, a dimensão em análise corresponde à D26 ("Quantidade de conjuntos de dados utilizados") da métrica DGABr 2.0, que substituiu a antiga dimensão sobre downloads de aplicativos. A avaliação desta dimensão é dependente da identificação prévia de aplicações que reutilizem os dados do órgão, conforme estipulado na dimensão D25 ("Quantidade de aplicações desenvolvidas").
A consulta ao registro de reúso no Portal Brasileiro de Dados Abertos não retornou resultados que evidenciem a utilização do conjunto de dados em questão por quaisquer aplicações, produtos ou serviços. Dada a ausência de uma aplicação de referência, a contagem de conjuntos de dados utilizados torna-se inviável. Por conseguinte, atribui-se o Nível 0, em conformidade com a definição da métrica para itens não observados ou cuja premissa de avaliação não foi atendida.</t>
  </si>
  <si>
    <t>A análise documental do PDA e dos portais de dados associados evidencia a disponibilização de canais de comunicação, como endereços de e-mail institucionais e a identificação do responsável pelo conjunto de dados. Adicionalmente, são observadas as ferramentas de feedback padrão da plataforma dados.gov.br, como escalas de satisfação e fóruns de discussão.
Contudo, não foram localizadas evidências de que a instituição promova ações proativas de engajamento com a sociedade civil, tais como a realização de eventos, hackathons ou a manutenção de um portal específico para comunicação e fomento ao reúso, conforme preconiza a dimensão D27. A mera descrição de canais de contato no PDA, desacompanhada de um plano ou registro de ações de engajamento, caracteriza a ausência de definição para o item avaliado. Por conseguinte, atribui-se o Nível 0 a esta dimensão.</t>
  </si>
  <si>
    <t>https://dados.gov.br/dados/conjuntos-dados/disciplinas-dos-cursos-de-grduacao</t>
  </si>
  <si>
    <t>https://dadosabertos.ifmg.edu.br/dataset/disciplinas-dos-cursos-de-grduacao</t>
  </si>
  <si>
    <t>https://dadosabertos.ifmg.edu.br/api/action/package_show?id=disciplinas-dos-cursos-de-grduacao</t>
  </si>
  <si>
    <t>A análise do conjunto de dados "Disciplinas dos Cursos Técnicos" indica que este abrange o primeiro semestre letivo de 2024. A verificação do PDA da instituição, com vigência para o período 2023-2025, revela que este conjunto de dados não consta entre os compromissos de publicação formalmente estabelecidos. A métrica DGABr, em sua dimensão D1, avalia a completude dos dados em relação a um escopo previamente definido, como séries históricas ou a totalidade das variáveis planejadas, que é tipicamente documentado no PDA. A ausência de tal definição no plano impede a aferição objetiva da completude do conjunto de dados publicado.
Diante da inexistência de um parâmetro formal para a avaliação, atribui-se o Nível 0 a esta dimensão. A justificativa para esta classificação reside no fato de que, embora os dados estejam publicados, o critério de "completude", conforme previsto pela metodologia da métrica, não pode ser mensurado. Tal cenário caracteriza uma lacuna na definição do escopo do item avaliado, alinhando-se à descrição do Nível 0, que se aplica quando "não tem definição para o item avaliado".</t>
  </si>
  <si>
    <t>https://dados.gov.br/dados/conjuntos-dados/disciplinas-dos-cursos-tecnicos1</t>
  </si>
  <si>
    <t>https://dadosabertos.ifmg.edu.br/api/action/package_show?id=disciplinas-dos-cursos-tecnicos</t>
  </si>
  <si>
    <t>https://dadosabertos.ifmg.edu.br/dataset/disciplinas-dos-cursos-tecnicos</t>
  </si>
  <si>
    <t>A análise do conjunto de dados indica que sua origem é a Coordenadoria de Registro Acadêmico, unidade institucionalmente responsável pelo registro das informações. Esta proveniência corrobora a natureza primária dos dados, conforme definido pela métrica, que preconiza a coleta direta na fonte, com máxima granularidade e sem modificações. Não foram identificados indícios de tratamento interpretativo ou processos de agregação sobre os dados brutos disponibilizados. Com base nessas evidências, atribui-se o Nível 5, correspondente ao cumprimento integral (100%) do critério para esta dimensão.</t>
  </si>
  <si>
    <t>A análise do PDA(2023/08-2025/08) demonstra que o conjunto de dados "Disciplinas dos Cursos Técnicos" não está listado entre os compromissos de publicação formalmente estabelecidos pela instituição. A ausência deste conjunto de dados no PDA implica a inexistência de uma frequência de atualização definida, que serviria como parâmetro para a avaliação desta dimensão.
A métrica DGABr, em sua dimensão D3, avalia especificamente o cumprimento da periodicidade de atualização previamente definida pelo órgão. Uma vez que não há um compromisso formal que estabeleça tal periodicidade, a aferição do seu cumprimento é inviabilizada. De acordo com os critérios da métrica, o Nível 0 é atribuído quando "não tem definição para o item avaliado". Portanto, atribui-se o Nível 0 a esta dimensão.</t>
  </si>
  <si>
    <t>Constata-se que o conjunto de dados cumpre integralmente os requisitos da dimensão D4 (Dados acessíveis). A análise evidencia que o acesso aos dados é público e realizado via web, sem a exigência de mecanismos de identificação, como cadastro ou login. Adicionalmente, a acessibilidade é reforçada pela disponibilização de uma API, cuja funcionalidade para download foi verificada por meio do acesso ao endereço `https://dadosabertos.ifmg.edu.br/api/action/package_show?id=disciplinas-dos-cursos-tecnicos`.
A ausência total de barreiras de acesso, alinhada à oferta de múltiplos meios de obtenção dos dados (download direto e via API), demonstra 100% de conformidade com os critérios definidos pela métrica para esta dimensão. Diante do exposto, atribui-se o Nível 5.</t>
  </si>
  <si>
    <t>A análise do conjunto de dados demonstrou que o acesso é público e irrestrito, realizado via web sem a necessidade de login, registro ou qualquer outra forma de identificação. A ausência de barreiras foi corroborada pela verificação do acesso por meio da API, que permitiu o download dos dados de forma automatizada. Tais evidências indicam o cumprimento integral (100%) dos critérios para a dimensão D6, o que fundamenta a atribuição do Nível 5.</t>
  </si>
  <si>
    <t>Atribui-se o Nível 5 à dimensão D7. A justificativa fundamenta-se na evidência de que o conjunto de dados é integralmente disponibilizado em formatos não proprietários, especificamente CSV e JSON. A utilização exclusiva desses formatos atende a 100% do critério estabelecido pela métrica DGABr, que preconiza o uso de padrões abertos para garantir o acesso e o reúso da informação sem a necessidade de software específico.</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</si>
  <si>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"http://dadosabertos.ifmg.edu.br/dataset/136d7786-af6c-4f86-b7e1-060cbda76630/resource/b8e24d31-7c58-4283-9676-de881cffd68d/download/conjunto-de-dados-disciplinas-dos-cursos-tecnicos.csv"</t>
  </si>
  <si>
    <t>Observa-se que o conjunto de dados é disponibilizado nos formatos CSV e JSON, além de ser acessível por meio de uma API. A utilização de múltiplos formatos estruturados e não proprietários, bem como a oferta de acesso via serviço automatizado, atende integralmente às recomendações técnicas para a publicação de DGA (DGA) no Brasil, conforme os critérios estabelecidos pela métrica DGABr. Este alinhamento completo com os padrões recomendados fundamenta a atribuição do Nível 5 para esta dimensão.</t>
  </si>
  <si>
    <t>A análise documental do PDA evidencia a definição da cobertura geográfica dos dados, estipulada como estadual (Minas Gerais) e detalhada em múltiplos municípios. A especificação do escopo geográfico no plano atende a um dos critérios fundamentais da dimensão D19, que avalia a conformidade entre o que foi planejado e o que foi efetivamente publicado.
Contudo, o registro de observação não inclui a análise correspondente do conjunto de dados para verificar se sua granularidade e abrangência efetivas correspondem ao escopo definido no PDA. A atribuição de um nível de maturidade para esta dimensão, conforme a metodologia DGABr, depende da verificação de que os dados publicados cumprem, em percentual (50%, 80% ou 100%), a cobertura geográfica estipulada. A ausência desta evidência de conformidade impede a validação técnica do nível atribuído.</t>
  </si>
  <si>
    <t>A verificação do conjunto de dados evidencia sua catalogação tanto em um portal institucional (`dadosabertos.ifmg.edu.br`) quanto no Portal Brasileiro de Dados Abertos (`dados.gov.br`). Conforme os critérios da dimensão D20 (Catalogação dos dados), a presença no portal nacional é o requisito para a avaliação, sendo a existência de um catálogo próprio um fator complementar, mas não determinante para a conformidade. Uma vez que o requisito de catalogação no repositório central do governo é integralmente atendido, atribui-se o Nível 5 a esta dimensão.</t>
  </si>
  <si>
    <t>Constata-se que a instituição possui um PDA que estabelece um cronograma para a publicação de DGA. Contudo, a análise documental evidencia que o conjunto de dados específico objeto desta avaliação não está inventariado no referido plano, o que representa uma desconformidade entre o planejamento e a execução. A observação de que o cronograma geral não é cumprido reforça essa constatação. Diante da existência de um instrumento normativo (PDA) cujas metas e compromissos não são executados para o caso em análise, atribui-se o Nível 2 a esta dimensão, em conformidade com os critérios definidos pela métrica DGABr.</t>
  </si>
  <si>
    <t>A verificação do reúso do conjunto de dados foi realizada por meio da consulta ao registro de aplicações no Portal Brasileiro de Dados Abertos. Na data da análise, não foram identificados registros de aplicações, produtos ou serviços que utilizem o referido conjunto de dados. A ausência de evidências de reúso fundamenta a atribuição do Nível 0 para esta dimensão, conforme os critérios da métrica DGABr 2.0, que estabelecem níveis superiores para a existência de uma ou mais aplicações desenvolvidas.</t>
  </si>
  <si>
    <t>Com base nos documentos de referência, a dimensão em questão corresponde à D26 da métrica DGABr 2.0, "Quantidade de conjuntos de dados utilizados". A avaliação desta dimensão é dependente da identificação prévia de uma aplicação que reutilize dados da instituição, conforme avaliado na dimensão D25. A evidência apresentada indica que a consulta ao registro de reúso no Portal Brasileiro de Dados Abertos não retornou resultados para o conjunto de dados em análise, o que impede a avaliação da D25.
Dada a ausência de uma aplicação de referência, a contagem de conjuntos de dados utilizados, objeto da D26, torna-se inaplicável. Por conseguinte, atribui-se o Nível 0 a esta dimensão, em conformidade com o critério da métrica para itens cuja avaliação é inviabilizada pela não observância de pré-condições. A falta de registro de reúso constitui uma lacuna de evidência que impede a atribuição de um nível superior.</t>
  </si>
  <si>
    <t>A análise do conjunto de dados indica que a informação foi gerada a partir do sistema disponível em https://viaipe.rnp.br/, sendo o próprio órgão a fonte produtora. Não foram identificadas evidências de agregações, modificações ou tratamentos interpretativos que alterem a granularidade original dos dados. A disponibilização da informação em sua forma bruta, conforme coletada na fonte, atende integralmente ao critério de "dados primários" definido pela métrica DGABr.
Dessa forma, o conjunto de dados cumpre em 100% o padrão estabelecido para a dimensão. Em conformidade com a estrutura de avaliação da métrica, atribui-se o Nível 5, correspondente ao cumprimento integral do requisito avaliado.</t>
  </si>
  <si>
    <t>Observa-se que o conjunto de dados "Link de internet" não consta no PDA da instituição. A métrica DGABr, em sua dimensão D3 (Dados atualizados), avalia a conformidade da publicação com a frequência de atualização previamente definida, parâmetro este que é tipicamente estabelecido no PDA. A ausência do referido conjunto de dados no plano implica a inexistência de um compromisso formal de atualização, o que inviabiliza a verificação de sua temporalidade conforme os critérios da métrica.
Diante da ausência de um parâmetro de avaliação documentado, atribui-se o Nível 0. Esta classificação se fundamenta na definição da métrica, que especifica este nível para situações em que a instituição "não tem definição para o item avaliado". A falta de uma frequência de atualização planejada e registrada para o conjunto de dados em questão corresponde diretamente a este critério, caracterizando uma lacuna de evidência que impede a avaliação nos níveis superiores.</t>
  </si>
  <si>
    <t>A análise do conjunto de dados constatou a sua acessibilidade pública por meio da web, sem a exigência de cadastro, login ou qualquer outra forma de identificação. Adicionalmente, foi verificada a disponibilização de acesso programático via API, cuja funcionalidade foi confirmada no endereço eletrônico documentado, permitindo o download automatizado dos dados.
A coexistência de acesso direto e programático, ambos irrestritos, demonstra o cumprimento integral dos requisitos da dimensão D4 (Dados acessíveis). Tal conformidade justifica a atribuição do Nível 5, que, segundo a métrica DGABr, corresponde à disponibilização de 100% dos dados sem barreiras de acesso, atendendo plenamente aos critérios de acesso não discriminatório e processabilidade por máquina.</t>
  </si>
  <si>
    <t>A análise do conjunto de dados e de seus pontos de acesso indica que o critério de acesso não discriminatório (D6) é integralmente atendido. O recurso está disponível para consulta e download direto por meio de sua página no portal de dados, bem como de forma programática via API, sem a requisição de cadastro, login ou qualquer outra forma de identificação do usuário. A validação das URLs dos recursos confirmou a ausência de restrições de acesso.
Tendo em vista o cumprimento integral do requisito, que corresponde a 100% de conformidade, atribui-se o Nível 5 a esta dimensão. Esta avaliação está alinhada à estrutura da métrica DGABr, que define o Nível 5 para os casos em que os padrões e recomendações são atendidos em sua totalidade.</t>
  </si>
  <si>
    <t>Verifica-se que o conjunto de dados é disponibilizado nos formatos CSV e JSON. Ambos são classificados como não proprietários, atendendo aos critérios estabelecidos pela dimensão D7 da métrica DGABr. Uma vez que a totalidade dos arquivos disponibilizados cumpre este requisito, o atendimento é considerado integral (100%). Com base nesta evidência, atribui-se o Nível 5, que corresponde ao cumprimento completo dos padrões e recomendações definidos para a dimensão.</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</si>
  <si>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"http://dadosabertos.ifmg.edu.br/dataset/73072b7a-f3a2-43ec-86db-54a47ed08198/resource/6d846cce-fd03-46d2-8a28-16680addc529/download/conjunto-de-dados-links-de-internet.json"</t>
  </si>
  <si>
    <t>Observou-se a ausência de um metadado específico que declare formalmente o vocabulário controlado utilizado pelo conjunto de dados. Em decorrência dessa lacuna, procedeu-se à análise das palavras-chave, as quais foram identificadas como "Outros em Administração". A verificação confirmou que este termo é consistente com o VCGE, indicando uma adesão implícita ao padrão.
Atribui-se o Nível 4 a esta dimensão. A justificativa fundamenta-se na constatação de que, embora os termos empregados como palavras-chave correspondam ao VCGE, a implementação é parcial devido à falta de um metadado explícito que formalize a adoção do vocabulário. O uso de termos do padrão atende ao critério mínimo de 50% de conformidade para o nível 4, mas a ausência da declaração formal impede a atribuição de um nível superior, que pressupõe uma execução mais completa das recomendações técnicas.</t>
  </si>
  <si>
    <t>A análise da dimensão geográfica evidencia a conformidade entre a cobertura dos dados e a especificação estipulada no PDA. O referido plano delimita a abrangência territorial da instituição como estadual, com detalhamento em nível municipal. A verificação do conjunto de dados confirma que os registros permitem a identificação do campus e, consequentemente, do município correspondente, alinhando-se à granularidade geográfica definida no PDA.
Dado que a segmentação geográfica observada nos dados corresponde integralmente à especificação documental, atribui-se o Nível 5. Esta classificação é fundamentada no critério da métrica que designa o Nível 5 para o cumprimento de 100% do padrão definido para a dimensão.</t>
  </si>
  <si>
    <t>Constata-se que os conjuntos de dados em análise estão catalogados tanto no portal institucional da organização quanto no Portal Brasileiro de Dados Abertos. A presença no portal nacional atende integralmente ao critério estabelecido pela dimensão D20, a qual avalia a catalogação dos dados em âmbito federal, independentemente da existência de um catálogo próprio.
A evidência demonstra o cumprimento de 100% do requisito, o que fundamenta a atribuição do Nível 5 a esta dimensão. A verificação foi realizada por meio de consulta direta aos endereços eletrônicos informados.</t>
  </si>
  <si>
    <t>Com base na consulta ao registro de reúso do Portal Brasileiro de Dados Abertos, não foram identificadas aplicações que utilizem o conjunto de dados em análise. A métrica DGABr 2.0, em sua dimensão D25 (Quantidade de aplicações desenvolvidas), define o termo "aplicações" de forma ampla, abrangendo produtos, serviços e sistemas, e utiliza o referido registro como fonte primária de evidência.
A ausência de registros documentados de reúso, conforme a metodologia de verificação estipulada, fundamenta a atribuição do Nível 0 para esta dimensão. Este nível é aplicado quando não há comprovação da existência de aplicações desenvolvidas a partir dos dados publicados.</t>
  </si>
  <si>
    <t>A consulta ao registro de reúso no Portal Brasileiro de Dados Abertos não identificou aplicações, produtos ou serviços que utilizem o conjunto de dados em análise. A dimensão D25 (Quantidade de aplicações desenvolvidas), conforme reformulada na DGABr 2.0, mensura a quantidade de aplicações desenvolvidas a partir dos DGA da instituição, tendo o registro no portal nacional como principal fonte de evidência. A ausência de registros de reúso para o referido conjunto de dados fundamenta a atribuição do Nível 0, que, segundo a métrica, corresponde à inexistência de resultados para o item avaliado.
Consequentemente, a dimensão D26 (Quantidade de conjuntos de dados utilizados), que mensura quantos conjuntos de dados distintos são empregados nas aplicações identificadas em D25, também recebe Nível 0. A avaliação desta dimensão é dependente da existência prévia de ao menos uma aplicação registrada, condição não atendida neste caso.</t>
  </si>
  <si>
    <t>A análise não identificou aplicações, produtos ou serviços que reutilizassem o conjunto de dados em questão. A dimensão D28 avalia se os produtos gerados a partir dos DGA informam adequadamente sobre as fontes de dados utilizadas e sua frequência de atualização. Visto que não foram localizadas instâncias de reúso, torna-se inviável a verificação dos critérios desta dimensão, que é dependente da existência prévia de uma aplicação, conforme avaliado na dimensão D25.
Desta forma, atribui-se o Nível 0, em conformidade com a métrica DGABr, que pressupõe a existência de um produto para que a informação sobre seu reúso possa ser avaliada. A evidência para esta conclusão baseia-se na ausência de registros de reúso no Portal Brasileiro de Dados Abertos, conforme consulta à URL de referência do conjunto de dados, o que constitui a principal fonte de verificação para esta dimensão, especialmente no contexto da DGABr 2.0.</t>
  </si>
  <si>
    <t>https://dados.gov.br/dados/conjuntos-dados/link-internet</t>
  </si>
  <si>
    <t>https://dadosabertos.ifmg.edu.br/api/action/package_show?id=link-internet</t>
  </si>
  <si>
    <t>https://dadosabertos.ifmg.edu.br/dataset/link-internet</t>
  </si>
  <si>
    <t>A análise do conjunto de dados "Chamados de suporte", com escopo temporal referente ao ano de 2024, evidencia uma lacuna documental. O referido conjunto não consta no rol de publicações previstas no PDA do órgão, instrumento que, segundo a metodologia da métrica, serve de referência para aferir a completude (D1) ao estabelecer os campos e a abrangência esperados para cada conjunto de dados. Na ausência de tal previsão, torna-se tecnicamente inviável a verificação do atendimento aos critérios de completude.
Esta ausência de uma definição formal para o item avaliado no âmbito do planejamento institucional fundamenta a atribuição do Nível 0. A publicação de um conjunto de dados não previsto no PDA, embora possa representar uma iniciativa de transparência, impede a avaliação objetiva de sua completude conforme os parâmetros estruturados pela métrica DGABr.</t>
  </si>
  <si>
    <t>A análise do conjunto de dados indica que sua origem é o sistema SUAP, sendo gerado pelo próprio órgão. As informações são apresentadas em sua granularidade original, sem evidências de processamento interpretativo ou agregação, o que as caracteriza como dados primários, conforme a definição da dimensão D2 da métrica DGABr. O cumprimento integral deste critério, que corresponde à disponibilização dos dados brutos coletados diretamente na fonte, fundamenta a atribuição do Nível 5.</t>
  </si>
  <si>
    <t>Constatou-se que o conjunto de dados é acessível publicamente via web, não sendo exigido registro, login ou qualquer outra forma de identificação para o seu acesso. Adicionalmente, foi verificada a disponibilização de uma API, que viabiliza o download automatizado dos dados. Tais características demonstram o cumprimento integral (100%) dos critérios definidos pela métrica DGABr para a dimensão D4, que avalia a acessibilidade irrestrita da informação. Desta forma, atribui-se o Nível 5.</t>
  </si>
  <si>
    <t>Observa-se que o conjunto de dados é disponibilizado em formatos estruturados (CSV e JSON), acessíveis tanto para download direto quanto via API. A análise da documentação e dos próprios recursos indica que os formatos adotados estão em conformidade com as especificações técnicas dos Padrões de Interoperabilidade do Governo Eletrônico (ePING).
Conforme a métrica DGABr 2.0, a avaliação dos níveis superiores (3, 4 e 5) para a dimensão D5 exige não apenas a estruturação dos dados, mas também a aderência a uma especificação técnica do ePING. A disponibilização integral do conjunto de dados nestas condições atende a 100% dos critérios estabelecidos, o que fundamenta a atribuição do Nível 5.</t>
  </si>
  <si>
    <t>A análise do conjunto de dados e de seus respectivos recursos, disponibilizados tanto via portal web quanto por meio de API, evidencia que o acesso é público e irrestrito. Constatou-se a ausência da requisição de cadastro, login ou qualquer outra forma de identificação para o download dos arquivos, o que demonstra o cumprimento integral (100%) dos requisitos desta dimensão. Desta forma, atribui-se o Nível 5, em conformidade com os critérios da métrica DGABr para acesso não discriminatório.</t>
  </si>
  <si>
    <t>A análise do conjunto de dados, acessado por meio do portal e da API especificados, evidencia que os recursos são disponibilizados nos formatos CSV e JSON. Ambos os formatos são classificados como não proprietários, atendendo integralmente aos critérios estabelecidos pela dimensão D7 da métrica DGABr.
A disponibilização de 100% dos dados em formatos abertos e não proprietários corresponde ao cumprimento total do requisito avaliado. Com base nesta evidência, atribui-se à dimensão o Nível 5, que denota a conformidade integral com os padrões definidos para o item.</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</si>
  <si>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"http://dadosabertos.ifmg.edu.br/dataset/8339d8d9-deca-4de7-9070-aa5052975292/resource/a7efa452-03d9-435d-82f8-f7344516ad72/download/conjunto-de-dados-chamados-de-suporte.csv"</t>
  </si>
  <si>
    <t>A análise do conjunto de dados evidencia a disponibilização dos recursos nos formatos CSV e JSON, além de acesso via API. Tais formatos e o método de acesso estão em conformidade com as recomendações técnicas para a publicação de DGA no Brasil, conforme estipulado na perspectiva técnica da métrica. A utilização de múltiplos formatos recomendados, incluindo um estruturado (CSV), um semiestruturado (JSON) e um ponto de acesso programático (API), atende integralmente aos critérios da dimensão D15.
A atribuição do Nível 5 é justificada pela constatação de que 100% dos recursos do conjunto de dados são oferecidos em, pelo menos, um dos formatos preconizados. A ausência de arquivos em formatos proprietários ou não estruturados corrobora esta avaliação. Caso fosse identificada uma conformidade parcial, o nível deveria ser ajustado para 4 (≥80%) ou 3 (≥50%), de acordo com a proporção de recursos aderentes.</t>
  </si>
  <si>
    <t>Conforme a metodologia da métrica DGABr, o nível da dimensão D16 (Qualidade dos Dados) não é atribuído por observação direta, mas é calculado a partir da média aritmética dos níveis obtidos nas dez dimensões da perspectiva "Dados Abertos" (D1 a D10). Na presente avaliação, os níveis registrados para estas dimensões. O resultado é o valor de 2,9, o que fundamenta a atribuição do nível 3 para esta dimensão.</t>
  </si>
  <si>
    <t xml:space="preserve">A análise do conjunto de dados não identificou um metadado que declare formalmente o uso de um vocabulário controlado. A verificação foi, portanto, realizada de forma indireta, por meio da inspeção do campo de palavras-chave, onde se constatou a presença de um termo correspondente ao VCGE: "Outros em Administração".
Atribui-se o Nível 4 a esta dimensão. A justificativa baseia-se na constatação de que, embora exista o conhecimento do padrão técnico recomendado (VCGE), evidenciado pelo uso de um de seus termos, a publicação do conjunto de dados não segue a prática de declará-lo formalmente nos metadados. </t>
  </si>
  <si>
    <t>A cobertura geográfica estipulada no PDA para o conjunto de dados é de escopo estadual, com detalhamento em nível municipal. A verificação do conjunto de dados confirma que a granularidade da informação, ao identificar o campus, permite a correspondência com o respectivo município, alinhando-se à segmentação proposta no plano. A documentação de suporte, que inclui um mapa e a listagem das unidades, corrobora a delimitação espacial das informações.
A métrica DGABr, em sua dimensão D19, avalia se a cobertura geográfica dos dados publicados está em conformidade com o que foi definido no PDA. Uma vez que a análise evidencia o cumprimento integral (100%) do escopo territorial planejado, atribui-se o Nível 5 a esta dimensão.</t>
  </si>
  <si>
    <t xml:space="preserve">A análise evidencia que o conjunto de dados está catalogado tanto no portal institucional da organização quanto no Portal Brasileiro de Dados Abertos. A presença no catálogo nacional (dados.gov.br) cumpre integralmente o requisito da dimensão D20, que avalia a centralização e a descoberta dos dados em âmbito federal. Diante da conformidade total com o padrão exigido, atribui-se o Nível 5 – Resultados Avançados.
</t>
  </si>
  <si>
    <t>A análise do PDA evidencia a existência de um cronograma para a publicação de conjuntos de dados. Contudo, não foram identificados critérios formais que orientem a priorização da abertura, como a definição de áreas temáticas ou a consideração da demanda social, a qual pode ser mensurada por meio de solicitações via e-SIC. A ausência de tais mecanismos, que constituem o elemento central da dimensão D21, indica que a seleção dos dados para publicação ocorre sem uma metodologia de priorização documentada.
A atribuição do Nível 1 fundamenta-se na constatação de que, embora o órgão possua um PDA, a estratégia de priorização para a abertura de dados não está definida ou formalizada neste instrumento. Conforme a estrutura da métrica DGABr, este nível aplica-se quando um item específico da avaliação ainda não foi estabelecido, mesmo que um planejamento mais amplo (o PDA) já exista.</t>
  </si>
  <si>
    <t>Com base na métrica DGABr 2.0, a dimensão D26 (Quantidade de conjuntos de dados utilizados) foi reformulada para mensurar quantos conjuntos de dados distintos de uma instituição são empregados em aplicações identificadas na dimensão D25. A avaliação desta dimensão é, portanto, contingente à existência de ao menos uma aplicação que reutilize os dados do órgão. Conforme a observação, não foram identificadas aplicações que utilizem o conjunto de dados em análise.
Em decorrência da ausência de aplicações, o objeto de mensuração desta dimensão torna-se inaplicável. Por conseguinte, atribui-se o Nível 0, em conformidade com a estrutura da métrica, que define este nível para situações em que não há definição ou publicação do item avaliado. A ausência de registros de reúso no Portal Brasileiro de Dados Abertos, mecanismo previsto para essa verificação, corrobora a inexistência de evidências formais de utilização.</t>
  </si>
  <si>
    <t>A análise do PDA do órgão evidencia a descrição de canais de comunicação com a sociedade civil, como o portal institucional e endereços de e-mail. Contudo, não foram identificadas no documento menções a ações proativas de engajamento, tais como a promoção de eventos, hackathons ou o desenvolvimento de sistemas dedicados à interação com a comunidade de usuários, elementos centrais para a dimensão D27.
Observa-se a disponibilização de contatos institucionais e a identificação do responsável pelo conjunto de dados nos portais. Tais elementos, embora relevantes para a manutenção e correção (dimensão D23), não constituem evidência de promoção ativa do reúso. A ausência de definição ou execução de estratégias de engajamento fundamenta a atribuição do Nível 0, em conformidade com os critérios da métrica DGABr 2.0.</t>
  </si>
  <si>
    <t>A verificação no Portal Brasileiro de Dados Abertos, incluindo a consulta à funcionalidade de registro de reúso, não identificou a existência de produtos, serviços ou aplicações que utilizem o conjunto de dados analisado. A ausência de instâncias de reúso, critério avaliado na dimensão D25, impede, por conseguinte, a análise do requisito da dimensão D28, que consiste em verificar se os produtos gerados informam sobre as fontes de DGA utilizadas e sua frequência de atualização.
Diante da inexistência do objeto de avaliação, atribui-se o Nível 0 a esta dimensão. A justificativa se fundamenta na definição da métrica DGABr, que classifica como inexistente a condição na qual o item avaliado não se aplica ou não é publicado.</t>
  </si>
  <si>
    <t>https://dados.gov.br/dados/conjuntos-dados/chamados-de-suporte</t>
  </si>
  <si>
    <t>https://dadosabertos.ifmg.edu.br/dataset/chamados-de-suporte</t>
  </si>
  <si>
    <t>https://dadosabertos.ifmg.edu.br/api/action/package_show?id=chamados-de-suporte</t>
  </si>
  <si>
    <t>A análise do conjunto de dados "Quantitativo de Discentes e Docentes por Campus" evidencia que este não consta no PDA da instituição. O PDA é o instrumento que estabelece os parâmetros de escopo e completude para os conjuntos de dados priorizados. A ausência de previsão deste conjunto no referido plano implica a inexistência de um critério formal para aferir se os dados publicados, referentes ao ano de 2024, representam a totalidade dos registros ou um subconjunto parcial.
Diante da lacuna de evidência documental que defina o que constitui um dado completo para este conjunto específico, a avaliação de sua completude torna-se metodologicamente inviável. Consequentemente, atribui-se o Nível 0 a esta dimensão, em conformidade com a definição da métrica DGABr para situações em que não há uma especificação formal para o item avaliado.</t>
  </si>
  <si>
    <t>Com base na análise do conjunto de dados "Quantitativo de Estudantes com Necessidades Educacionais Específicas Atendidos pelos NAPNEEs" e do PDA referenciado, constata-se que o referido conjunto não está listado nos compromissos de publicação do plano. A ausência de sua previsão no PDA impede a aferição de sua completude em relação a um escopo, série histórica ou conjunto de atributos previamente definidos pela instituição. A métrica DGABr, na dimensão D1, avalia a completude dos dados em função de um padrão estabelecido, que é tipicamente formalizado no PDA.
Dada a inexistência de uma definição formal que estabeleça os critérios de completude para este conjunto de dados específico, não é possível realizar uma avaliação percentual de seu atendimento. Portanto, atribui-se o Nível 0. A justificativa para esta classificação alinha-se à premissa da métrica, que aplica o Nível 0 quando a instituição "não tem definição para o item avaliado", referindo-se, neste contexto, à ausência de um padrão documentado para a completude do conjunto de dados em análise.</t>
  </si>
  <si>
    <t>Com base na análise do PDA (2023/08-2025/08), verifica-se que o documento descreve canais de comunicação com a sociedade civil, como e-mail e o portal institucional. No entanto, não foram identificadas no plano menções a ações proativas de engajamento, como a promoção de eventos, hackathons ou outras iniciativas destinadas a fomentar o reúso dos dados, que constituem o foco da dimensão D27. A existência de ferramentas de feedback no portal dados.gov.br e a disponibilização de contatos são observadas, mas, no escopo da métrica DGABr, tais elementos associam-se mais diretamente à dimensão de manutenção e correção (D23).
A ausência de uma estratégia documentada para o fomento ativo do reúso fundamenta a atribuição do Nível 0. Esta classificação é consistente com os critérios da métrica, que a aplicam quando não há definição para o item avaliado.</t>
  </si>
  <si>
    <t>A análise do PDA (2023/08-2025/08) e dos portais de dados associados indica a existência de canais de comunicação passivos, tais como endereços de e-mail institucionais, a identificação do responsável pelo conjunto de dados e as ferramentas de feedback disponíveis no portal dados.gov.br. Contudo, não foram localizadas no PDA menções a ações proativas de engajamento, como a promoção de eventos, hackathons ou a criação de sistemas específicos para interação com a sociedade civil, conforme preconiza a dimensão D27 da métrica.
A ausência de definição ou planejamento para tais ações no documento orientador (PDA) caracteriza o não cumprimento do critério avaliado. Dessa forma, atribui-se o Nível 0, em conformidade com a metodologia da DGABr, que designa este nível para os casos em que a instituição não possui uma definição para o item em avaliação.</t>
  </si>
  <si>
    <t>A análise do PDA (2023/08-2025/08) indica a descrição de canais de comunicação com a sociedade civil, como e-mail e portal institucional. No entanto, o documento não apresenta o planejamento ou a execução de ações proativas de engajamento, tais como a promoção de eventos ou a criação de sistemas específicos para interação com a comunidade de reúso, que constituem os critérios avaliados pela dimensão D27. A ausência de definição formal para tais iniciativas de engajamento fundamenta a atribuição do Nível 0, em conformidade com a metodologia da métrica. A existência de canais de contato e ferramentas de feedback, embora registrada, não corresponde ao escopo desta dimensão.</t>
  </si>
  <si>
    <t>Observa-se que o conjunto de dados "Certificados de Conclusão do Ensino Médio e Declarações Parciais de Proficiência Emitidos com Base nos Resultados do Encceja" abrange o período de 2018 a 2023. Contudo, verifica-se que o referido conjunto não está listado entre os compromissos de publicação formalizados no PDA (2023/08-2025/08) da instituição. A ausência de uma definição prévia no plano impede a aferição objetiva da completude dos dados, pois não existem parâmetros formais, como séries históricas esperadas ou variáveis obrigatórias, contra os quais a completude possa ser avaliada.
Consoante a definição da métrica DGABr, que estabelece o Nível 0 para situações em que "a instituição não tem definição para o item avaliado", atribui-se este nível à dimensão D1. A justificativa técnica reside na impossibilidade de verificar se os dados são completos, conforme preconiza a dimensão, devido à lacuna de evidência documental no principal instrumento de planejamento de dados abertos da instituição.</t>
  </si>
  <si>
    <t>A análise do conjunto de dados indica que sua geração é atribuída à Coordenadoria de Registro Acadêmico, unidade institucionalmente responsável pelas informações. Contudo, a evidência aponta que os dados disponibilizados foram submetidos a um processo de agregação, o que contraria o critério da dimensão D2. Conforme a métrica DGABr, dados primários são definidos por sua máxima granularidade, sendo coletados na fonte e publicados sem modificações ou agregações.
Diante da constatação de que o conjunto de dados não se encontra em seu estado bruto, atribui-se o Nível 0 a esta dimensão. A justificativa para esta classificação reside no não cumprimento do requisito fundamental de primariedade, conforme estabelecido pelo modelo de avaliação.</t>
  </si>
  <si>
    <t>A análise do conjunto de dados evidencia que o acesso é público e realizado via web, sem a requisição de mecanismos de identificação, como login ou registro prévio. Adicionalmente, a disponibilização de uma API para acesso programático e download dos recursos foi confirmada, conforme verificado no endereço eletrônico fornecido. Com base nessas observações, que demonstram o cumprimento integral (100%) dos requisitos da dimensão, atribui-se o Nível 5.</t>
  </si>
  <si>
    <t>Constata-se que o conjunto de dados é disponibilizado em formatos estruturados, notadamente CSV e JSON, acessíveis tanto para download direto quanto por meio de uma API. Esta constatação atende integralmente aos critérios da dimensão D5, conforme a especificação da DGABr 2.0, que para os níveis superiores (3 a 5) exige não apenas a estruturação dos dados, mas também a conformidade com especificações técnicas do ePING. Uma vez que 100% dos recursos de dados observados estão em formatos que permitem o processamento automatizado e são recomendados pelos padrões de interoperabilidade governamentais, atribui-se o Nível 5.</t>
  </si>
  <si>
    <t>A análise do conjunto de dados, tanto por meio de sua página web quanto via API, evidencia que o acesso aos recursos é público e irrestrito. Não foi identificada a necessidade de cadastro, login ou qualquer outra forma de identificação para o download dos arquivos, o que atende integralmente aos critérios da dimensão D6 (Acesso não discriminatório), conforme definido pela métrica DGABr. Desta forma, atribui-se o Nível 5, uma vez que a totalidade dos pontos de acesso verificados cumpre as exigências da métrica para a pontuação máxima.</t>
  </si>
  <si>
    <t>Constata-se, a partir da inspeção dos recursos informados, que o conjunto de dados é disponibilizado nos formatos CSV e JSON. Ambos são classificados como não-proprietários, conforme as diretrizes da perspectiva técnica da métrica DGABr. Visto que a totalidade dos dados é ofertada em formatos que cumprem integralmente o requisito da dimensão D7, a aderência é de 100%.
Dessa forma, a evidência fundamenta a atribuição do Nível 5. A avaliação reflete o cumprimento integral dos padrões definidos para esta dimensão, que exige a utilização de formatos abertos para garantir o acesso e o reúso sem barreiras tecnológicas ou de licenciamento de software.</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</si>
  <si>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"http://dadosabertos.ifmg.edu.br/dataset/6ec026d6-ef69-42c1-9cb2-d6c4a6f70ea6/resource/0bfa4744-26bc-4181-b75e-6cd7de0d8b84/download/conjunto-de-dados-matriculas-iniciais-nos-cursos-tecnicos-e-de-graduacao.csv".</t>
  </si>
  <si>
    <t>Verifica-se que o conjunto de dados é disponibilizado em múltiplos formatos, especificamente CSV e JSON, além de ser acessível por meio de uma API. Tais métodos de disponibilização cumprem integralmente os critérios da dimensão D15, que avalia o uso de formatos estruturados, não proprietários e processáveis por máquina, conforme preconizado pelos padrões de interoperabilidade para DGA no Brasil. A oferta de múltiplos formatos recomendados, somada ao acesso programático via API, evidencia o cumprimento de 100% dos requisitos técnicos para esta dimensão.
Com base nas evidências, que demonstram a adesão completa às práticas recomendadas pela métrica, atribui-se o Nível 5. A análise dos documentos de referência da DGABr 2.0 indica que esta dimensão não sofreu alterações, mantendo-se os critérios da versão original.</t>
  </si>
  <si>
    <t>A análise do PDA da instituição evidencia a definição de sua abrangência territorial como estadual (Minas Gerais), com detalhamento das unidades distribuídas em múltiplos municípios. A verificação do conjunto de dados em análise confirma que a granularidade geográfica dos registros, identificada por campus, é consistente com a cobertura municipal estipulada no documento. Dado que a cobertura geográfica dos dados publicados corresponde integralmente ao escopo definido no PDA, atribui-se o Nível 5 a esta dimensão, em conformidade com os critérios da métrica DGABr.</t>
  </si>
  <si>
    <t>Verifica-se que os conjuntos de dados estão catalogados tanto no portal de dados da própria instituição (`dadosabertos.ifmg.edu.br`) quanto no Portal Brasileiro de Dados Abertos. A dimensão D20 (Catalogação dos dados) da métrica DGABr estabelece como requisito a presença dos dados no catálogo nacional, mesmo que a organização possua um portal próprio. O registro no Portal Brasileiro de Dados Abertos constitui, portanto, o cumprimento integral do critério estabelecido. Diante dessa conformidade, atribui-se o Nível 5 a esta dimensão.</t>
  </si>
  <si>
    <t>A análise do conjunto de dados não evidencia a declaração explícita de um vocabulário controlado por meio de um metadado específico. A avaliação, portanto, baseou-se na análise das palavras-chave associadas ao conjunto, onde foram identificados os termos "educação", "educação básica", "educação profissionalizante" e "educação superior", os quais são consistentes com o VCGE.
Atribui-se o Nível 3, uma vez que a utilização de palavras-chave alinhadas ao VCGE representa uma conformidade parcial com a dimensão. Contudo, a ausência de uma aplicação formal do vocabulário aos campos do próprio conjunto de dados e a falta de um metadado que o declare formalmente impedem a atribuição de um nível superior, caracterizando uma lacuna na implementação.</t>
  </si>
  <si>
    <t>A análise do PDA 2023/08-2025/08 indica a descrição de canais de comunicação institucionais, como e-mail e o portal. No entanto, o documento não apresenta evidências de planejamento ou execução de ações proativas de engajamento com a sociedade civil, tais como a promoção de eventos, hackathons ou o desenvolvimento de sistemas específicos para incentivar o reúso dos dados, que constituem o foco da dimensão D27.
A disponibilização de canais de contato passivos e a identificação do responsável pelo conjunto de dados, embora relevantes, não atendem aos critérios para pontuação nesta dimensão. A ausência de definição de estratégias de engajamento no PDA fundamenta a atribuição do Nível 0, conforme os critérios da métrica, que estabelecem este nível quando a instituição não possui definição ou execução para o item avaliado.</t>
  </si>
  <si>
    <t>Com base na análise do PDA da instituição, para o biênio 2023/08-2025/08, observa-se a presença de um cronograma de publicação para os conjuntos de dados. Contudo, o documento não apresenta critérios formais que orientem a priorização da abertura, como a definição de áreas temáticas estratégicas ou a consideração da demanda social, evidenciada por solicitações via e-SIC. A ausência desses elementos indica que a seleção dos dados para publicação não segue uma estratégia documentada, conforme preconizado pela dimensão D21 da métrica.
Diante do exposto, atribui-se o Nível 1 a esta dimensão. A justificativa para tal classificação fundamenta-se na existência de um planejamento temporal (o cronograma), que sinaliza uma iniciativa em andamento. No entanto, a ausência de uma estratégia de priorização explícita representa uma lacuna na definição do item avaliado, o que impede a atribuição de um nível superior. A classificação reflete um estágio inicial de planejamento, no qual o "o quê" e "porquê" da abertura ainda não foram formalmente estabelecidos, alinhando-se à definição de um processo "em construção".</t>
  </si>
  <si>
    <t>Com base na análise do PDA para o biênio 2023/08-2025/08, constata-se que o documento se limita a descrever canais de comunicação passivos, como e-mail e o portal institucional. Não foram identificadas menções a ações proativas de engajamento da sociedade civil, tais como a promoção de eventos, hackathons ou consultas públicas, que constituem o escopo da dimensão D27 da métrica DGABr. As ferramentas de feedback disponíveis no Portal Brasileiro de Dados Abertos são funcionalidades da plataforma nacional e não evidenciam uma iniciativa de engajamento promovida pelo próprio órgão.
A ausência de evidências documentais sobre a promoção de quaisquer ações para fomentar o reúso de dados alinha-se à definição da métrica para o Nível 0. Este nível é atribuído quando não há definição ou execução do item avaliado, o que se aplica à falta de estratégias de engajamento no planejamento institucional apresentado.</t>
  </si>
  <si>
    <t>Com base na análise do PDA para o biênio 2023/08-2025/08, observa-se a ausência de uma estratégia documentada para a priorização da abertura de conjuntos de dados. O documento não estabelece critérios formais para a seleção, como a definição de áreas temáticas relevantes ou a consideração de dados mais solicitados via e-SIC, elementos previstos pela dimensão D21. A existência de um cronograma de publicação, embora presente, constitui um artefato associado à dimensão D22 (Estratégias e cronograma) e não supre a lacuna na definição de prioridades.
A carência de uma norma ou mesmo de um estudo em desenvolvimento que formalize os critérios de seleção caracteriza o item avaliado como "Inexistente", segundo a métrica DGABr. A evidência documental não sustenta a classificação "Em construção" (Nível 1), pois não há indicação de que uma estratégia de priorização esteja sendo elaborada. Diante da ausência de definição para o item, atribui-se o Nível 0 a esta dimensão.</t>
  </si>
  <si>
    <t>A consulta à funcionalidade de registro de reúso no Portal Brasileiro de Dados Abertos, conforme o endereço eletrônico documentado, não identificou aplicações, produtos ou serviços que utilizem o conjunto de dados em análise. A ausência de evidências de reúso impede a atribuição de um nível superior a 0 para esta dimensão.
De acordo com a métrica DGABr 2.0, a dimensão D25 (Quantidade de aplicações desenvolvidas) avalia a existência de sistemas que reutilizam os dados publicados. A inexistência de aplicações registradas fundamenta a atribuição do Nível 0, que se aplica quando não há execução ou publicação do item avaliado.</t>
  </si>
  <si>
    <t>A consulta ao registro de reúso no Portal Brasileiro de Dados Abertos, fonte de evidência primária para as dimensões D25 e D26 na métrica DGABr 2.0, não identificou aplicações desenvolvidas que utilizem o conjunto de dados em análise. A ausência de aplicações registradas (D25) impede, por consequência, a avaliação da dimensão D26, que mensura a quantidade de conjuntos de dados distintos empregados em uma aplicação previamente identificada. Diante da inexistência de evidências documentadas de reúso, atribui-se o Nível 0, em conformidade com o critério "Inexistente" da métrica.</t>
  </si>
  <si>
    <t>A verificação não identificou produtos, serviços ou aplicações que reutilizem o conjunto de dados analisado. A dimensão D28, "Informações sobre o reúso", avalia se os produtos gerados a partir dos DGA informam aos usuários as fontes de dados utilizadas e sua respectiva frequência de atualização. Visto que não foram localizados exemplos de reúso, torna-se inviável a verificação do cumprimento deste critério.
Em conformidade com a estrutura da métrica DGABr, que estabelece o Nível 0 para situações em que o item avaliado não existe ou não se aplica, atribui-se este nível à dimensão. A ausência de aplicações que utilizem os dados é a evidência primária que fundamenta esta avaliação.</t>
  </si>
  <si>
    <t>https://dados.gov.br/dados/conjuntos-dados/matriculas-iniciais-nos-cursos-tecnicos-e-de-graduacao</t>
  </si>
  <si>
    <t>https://dadosabertos.ifmg.edu.br/dataset/matriculas-iniciais-nos-cursos-tecnicos-e-de-graduacao</t>
  </si>
  <si>
    <t>https://dadosabertos.ifmg.edu.br/api/action/package_show?id=matriculas-iniciais-nos-cursos-tecnicos-e-de-graduacao</t>
  </si>
  <si>
    <t>https://dados.gov.br/dados/conjuntos-dados/quantitativo-de-discentes-e-docentes-por-campus</t>
  </si>
  <si>
    <t>https://dadosabertos.ifmg.edu.br/api/action/package_show?id=quantitativo-de-discentes-e-docentes-por-campus</t>
  </si>
  <si>
    <t>https://dadosabertos.ifmg.edu.br/dataset/quantitativo-de-discentes-e-docentes-por-campus</t>
  </si>
  <si>
    <t>Constata-se que os dados são provenientes da Coordenadoria de Registro Acadêmico, unidade institucionalmente responsável pela sua geração. No entanto, a análise do conjunto de dados revela que as informações são disponibilizadas em formato agregado, não correspondendo à sua forma primária ou de máxima granularidade. A métrica DGABr, na dimensão D2, define dados primários como aqueles coletados na fonte, sem modificações ou agregações.
A disponibilização de dados exclusivamente em formato agregado impede o cumprimento dos critérios estabelecidos para os níveis superiores da dimensão. Consequentemente, a ausência de dados brutos fundamenta a atribuição do Nível 0, em conformidade com a definição da métrica para conjuntos de dados que não apresentam a característica avaliada.</t>
  </si>
  <si>
    <t>Constata-se que o conjunto de dados é acessível publicamente via web, sem requerer mecanismos de login ou registro. A disponibilização de uma API para acesso programático foi igualmente verificada, conforme evidenciado pelo teste de consulta ao endereço eletrônico documentado.
O cenário observado cumpre integralmente os critérios da dimensão D4 (Dados acessíveis). Desta forma, atribui-se o Nível 5, que, segundo a métrica DGABr, corresponde ao cumprimento de 100% dos requisitos para a dimensão, caracterizando a ausência de barreiras de identificação para o acesso aos dados.</t>
  </si>
  <si>
    <t>Verificou-se que o conjunto de dados é disponibilizado nos formatos estruturados JSON e CSV, o que garante seu processamento por máquina. Adicionalmente, a análise indicou que a estruturação dos dados está em conformidade com as especificações técnicas do ePING.
Com base nessas evidências, atribui-se o Nível 5 à dimensão. A justificativa fundamenta-se no cumprimento integral (100%) dos critérios estabelecidos pela métrica DGABr 2.0 para a dimensão D5. A versão atualizada da métrica exige, para os níveis superiores de avaliação, não apenas a disponibilização em formato estruturado, mas também a aderência a padrões de interoperabilidade, requisito que foi integralmente atendido.</t>
  </si>
  <si>
    <t>Verificou-se que o conjunto de dados é disponibilizado por meio de acesso público e irrestrito, tanto em sua página web quanto via API. A ausência de barreiras, como a necessidade de cadastro ou login para o download dos dados, foi confirmada por meio de testes de acesso direto aos recursos informados. Esta conformidade integral com o critério da dimensão D6 (Acesso não discriminatório) fundamenta a atribuição do Nível 5, que, segundo a métrica DGABr, corresponde ao cumprimento de 100% dos padrões definidos para a dimensão.</t>
  </si>
  <si>
    <t>A análise do conjunto de dados e da respectiva API evidencia que os recursos são disponibilizados nos formatos CSV e JSON. Ambos os formatos são classificados como não proprietários e estão em conformidade com as recomendações técnicas da métrica DGABr e dos padrões de interoperabilidade governamental. Visto que a totalidade dos formatos ofertados atende ao critério da dimensão, que avalia o uso de padrões abertos, atribui-se o Nível 5. Esta pontuação é justificada pelo cumprimento integral (100%) do requisito, conforme estabelecido pela metodologia de avaliação da métrica.</t>
  </si>
  <si>
    <t>O conjunto de dados "Quantitativo de Discentes e Docentes por Campus" não consta no PDA. A ausência de menção no referido plano impede a verificação da frequência de atualização definida, critério central para a avaliação da dimensão D3. Conforme a metodologia da DGABr, a inexistência de uma periodicidade formalmente estabelecida para o conjunto de dados avaliado justifica a atribuição do Nível 0, uma vez que não há um parâmetro institucional contra o qual a temporalidade da publicação possa ser aferida.</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</si>
  <si>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"http://dadosabertos.ifmg.edu.br/dataset/9e8d092a-0d49-446f-bf28-d0da40df64ea/resource/5c0189eb-cd79-430a-b419-a17e09397a24/download/conjunto-de-dados-quantitativo-de-discentes-e-docentes-por-campus.json"</t>
  </si>
  <si>
    <t>O nível atribuído à dimensão D16 (Qualidade dos Dados) não resulta de uma avaliação direta, mas de um procedimento metodológico específico previsto pela métrica DGABr. Seu valor é determinado pela média aritmética simples dos níveis obtidos nas dez dimensões que compõem a perspectiva "Dados Abertos" (D1 a D10).
Para o conjunto de dados em análise, os níveis registrados para as dimensões de D1 a D10. A aplicação do cálculo resulta em um valor de 2,4, o que justifica a atribuição do Nível 2, conforme as regras de arredondamento ou truncamento da métrica.</t>
  </si>
  <si>
    <t>A avaliação da dimensão geográfica (D19) verifica a conformidade entre a cobertura estipulada no PDA e a granularidade presente no conjunto de dados. O PDA da instituição define a abrangência territorial como estadual, detalhando as unidades por meio de um mapa e da listagem dos municípios de atuação. A análise do conjunto de dados evidencia que a segmentação geográfica proposta foi implementada, uma vez que os registros identificam o campus e o município correspondente. Diante da correspondência integral entre a cobertura geográfica definida no PDA e a granularidade aplicada nos dados, atribui-se o Nível 5.</t>
  </si>
  <si>
    <t>Constata-se que os conjuntos de dados avaliados estão catalogados tanto em um portal institucional próprio quanto no Portal Brasileiro de Dados Abertos. A presença no catálogo nacional atende integralmente ao requisito da dimensão D20, que visa centralizar e facilitar a localização dos DGA. Com base na evidência de que 100% dos dados sob análise estão disponíveis no portal de referência do governo federal, atribui-se o Nível 5, em conformidade com os critérios de cumprimento integral da métrica DGABr 2.0.</t>
  </si>
  <si>
    <t>A análise do PDA evidencia a existência de um cronograma de publicação, contudo, não foram identificados critérios formais que orientem a priorização da abertura dos conjuntos de dados. O documento não apresenta uma estratégia explícita baseada em áreas temáticas, relevância para a sociedade ou na demanda registrada por meio de canais como o e-SIC, elementos preconizados pela métrica DGABr para esta dimensão.
A ausência de uma metodologia de priorização documentada, apesar da existência do PDA, justifica a atribuição do Nível 1. Esta classificação se aplica a cenários nos quais o instrumento de planejamento existe, mas a definição de um padrão ou critério específico para a dimensão avaliada ainda não foi estabelecida, indicando que a seleção dos dados a serem abertos ocorre sem uma estratégia formalizada.</t>
  </si>
  <si>
    <t>Constata-se a existência de um PDA que estabelece um cronograma para a publicação de DGA. Contudo, a análise do referido documento evidencia que o conjunto de dados em avaliação não está inventariado no plano, além de se observar o não cumprimento do cronograma geral. Tais fatos justificam a atribuição do Nível 2, uma vez que, conforme a métrica, a instituição possui uma norma ou recomendação definida, mas a publicação dos dados não segue os compromissos nela formalizados.</t>
  </si>
  <si>
    <t>A análise documental do PDA e a inspeção dos portais de dados identificaram a disponibilização de canais de comunicação, como e-mails institucionais, e de ferramentas de feedback no portal `dados.gov.br`. Contudo, o PDA limita-se a descrever esses canais, não havendo evidências de ações proativas de engajamento com a sociedade civil para incentivar o reúso dos DGA.
Com base nestas observações, atribui-se o Nível 0 à dimensão. A justificativa fundamenta-se na ausência de comprovação de ações de promoção do reúso, como eventos, competições ou hackathons, que constituem o escopo avaliativo desta dimensão, conforme a métrica DGABr. Os mecanismos de contato e feedback identificados, embora pertinentes à manutenção dos dados, são classificados como canais de comunicação passiva e não cumprem o requisito de engajamento ativo previsto.</t>
  </si>
  <si>
    <t>A verificação de instâncias de reúso para o conjunto de dados analisado não identificou produtos ou serviços registrados. A ausência de aplicações que utilizem os DGA em questão inviabiliza, por consequência, a avaliação do critério da dimensão D28, que mensura se tais produtos informam adequadamente sobre as fontes de dados utilizadas. Portanto, atribui-se o Nível 0, em conformidade com a estrutura da métrica DGABr, que designa este nível para situações em que o objeto de avaliação não se manifesta.
Registra-se que a URL fornecida na documentação de evidência (`.../quantitativo-de-discentes-e-docentes-por-campus`) remete a um conjunto de dados distinto do que está sob análise (PRONATEC), o que indica uma inconsistência na rastreabilidade do procedimento de verificação. Contudo, a consulta direta no Portal Brasileiro de Dados Abertos para o conjunto de dados do PRONATEC corrobora a ausência de registros de reúso, sustentando a classificação atribuída.</t>
  </si>
  <si>
    <t>A análise não identificou aplicações, produtos ou serviços que reutilizem o conjunto de dados em questão, conforme verificado nos registros de reúso do Portal Brasileiro de Dados Abertos e em outras fontes públicas. A avaliação da dimensão D28, que mensura se os produtos gerados a partir dos DGA informam adequadamente sobre as fontes de dados utilizadas, é conceitualmente dependente da prévia identificação de tais produtos, critério avaliado na dimensão D25.
Visto que não foram localizadas evidências de reúso (resultando em Nível 0 para a dimensão D25), torna-se inviável a verificação dos requisitos para a D28. Em conformidade com a estrutura da métrica DGABr 2.0, que define o Nível 0 como "Inexistente" para situações em que o item avaliado não se aplica ou não pode ser observado, atribui-se o Nível 0 a esta dimensão.</t>
  </si>
  <si>
    <t>Observa-se que o conjunto de dados foi publicado em formato agregado. Esta característica contraria o critério da dimensão D2 (Dados primários), que, segundo a métrica, avalia se os dados são disponibilizados em sua forma bruta, com granularidade máxima e sem modificações. Embora a informação seja originária do órgão responsável (Diretoria de Assuntos Estudantis), a ausência de dados desagregados impede a conformidade com o princípio avaliado.
A atribuição do Nível 0 é, portanto, justificada, uma vez que o requisito de dados primários não foi atendido. A documentação da métrica DGABr estabelece que o Nível 0 se aplica quando o item avaliado não está presente, sendo um exemplo de justificativa a constatação de que "o dado não é primário e as agregações não são documentadas".</t>
  </si>
  <si>
    <t>Constata-se que o conjunto de dados é acessível publicamente pela web, não sendo exigido cadastro, login ou qualquer outra forma de identificação para o acesso. Adicionalmente, verifica-se a disponibilização de uma API que permite o consumo automatizado e o download dos dados, funcionalidade que foi utilizada na presente análise.
Este cenário evidencia o cumprimento integral dos requisitos da dimensão, justificando a atribuição do Nível 5. Conforme a métrica DGABr, este nível é aplicado quando 100% dos dados são disponibilizados via acesso web sem barreiras. A existência de uma API para consumo direto reforça a conformidade com o mais alto grau de acessibilidade previsto.</t>
  </si>
  <si>
    <t>A análise do conjunto de dados indica que o acesso é provido de forma não discriminatória. Verifica-se que os recursos são acessíveis publicamente via web, tanto para download direto quanto por meio da API, sem a requisição de login, cadastro ou qualquer outra forma de identificação prévia.
Este cenário corresponde integralmente aos critérios da dimensão D6 (Acesso não discriminatório). Por conseguinte, atribui-se o Nível 5, que, conforme a estrutura da métrica DGABr, pressupõe o cumprimento de 100% das recomendações para o item avaliado.</t>
  </si>
  <si>
    <t>A análise do conjunto de dados evidencia que os recursos são disponibilizados nos formatos CSV e JSON. Ambos os formatos são classificados como não proprietários, alinhando-se integralmente aos critérios estabelecidos pela métrica para esta dimensão. A conformidade de 100% dos formatos ofertados, verificada por meio da inspeção dos arquivos obtidos para download e da resposta da API associada, fundamenta a atribuição do Nível 5.</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</si>
  <si>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"http://dadosabertos.ifmg.edu.br/dataset/42368707-552e-46e5-b23f-8c79e6848741/resource/03577888-f216-4287-9993-e6430b282e8b/download/conjunto-de-dados-quantitativo-de-estudantes-atendidos-pelos-napnees.json"</t>
  </si>
  <si>
    <t>Com base na metodologia da métrica DGABr, o nível da dimensão D16 (Qualidade dos Dados) não é atribuído por avaliação direta, mas sim derivado de um cálculo. O valor corresponde à média aritmética dos níveis obtidos nas dez dimensões que compõem a perspectiva "Dados Abertos" (D1 a D10).
Para o conjunto de dados em análise, os níveis registrados para as dimensões D1 a D10. O cálculo da média resulta em 2,4, o que, conforme o procedimento de truncamento da métrica, justifica a atribuição do Nível 2.</t>
  </si>
  <si>
    <t>Constata-se que o conjunto de dados é disponibilizado nos formatos CSV e JSON, ambos recomendados pelos padrões técnicos brasileiros para a publicação de DGA (DGA). Adicionalmente, verifica-se a oferta de acesso aos dados por meio de uma API, método de disponibilização também previsto nos critérios da métrica DGABr.
Com base nessas evidências, atribui-se o Nível 5 a esta dimensão. A justificativa para tal nível reside no cumprimento integral (100%) dos formatos e métodos de acesso preconizados pela métrica, indicando conformidade total com os padrões técnicos avaliados.</t>
  </si>
  <si>
    <t>A avaliação da dimensão geográfica (D19) fundamenta-se na conformidade entre a cobertura territorial definida no PDA e a granularidade presente no conjunto de dados. A documentação de referência, especificamente o PDA, estabelece a abrangência geográfica da instituição como estadual (Minas Gerais) e detalha a localização de suas unidades em múltiplos municípios. A análise do conjunto de dados corrobora esta definição, ao apresentar campos que identificam o campus e o município correspondente para cada registro.
Para a atribuição de um nível de maturidade, é necessária a verificação da correspondência entre os municípios listados no PDA e aqueles efetivamente presentes nos dados. Assumindo-se que a segmentação geográfica proposta foi integralmente cumprida no conjunto de dados, o nível 5 seria atribuído, em conformidade com o critério de 100% de execução da métrica. Contudo, a ausência de um registro explícito dessa verificação no texto original constitui uma lacuna na documentação da evidência que suporta a avaliação.</t>
  </si>
  <si>
    <t>Constata-se que o conjunto de dados está catalogado tanto em um portal institucional próprio (`https://dadosabertos.ifmg.edu.br`) quanto no Portal Brasileiro de Dados Abertos (`https://dados.gov.br`). A presença no portal nacional atende integralmente ao critério estabelecido pela dimensão D20 da métrica DGABr 2.0, que avalia se os dados estão disponíveis no catálogo centralizado do governo federal. Este cumprimento de 100% do requisito fundamenta a atribuição do Nível 5 a esta dimensão.</t>
  </si>
  <si>
    <t>A análise do PDA evidencia a existência de um cronograma de publicação. No entanto, o documento não apresenta uma estratégia formal de priorização, como critérios baseados em áreas temáticas de maior relevância ou em dados solicitados via e-SIC, conforme preconiza a dimensão D21. A presença de um cronograma desvinculado de critérios de seleção explícitos caracteriza um planejamento em estágio inicial.
Por essa razão, o conjunto de dados é avaliado com Nível 1. A justificativa se baseia no fato de que, embora exista um plano de ação (cronograma), a metodologia para a seleção dos dados a serem abertos ainda não se encontra formalmente definida ou executada, alinhando-se à definição de um padrão em desenvolvimento, mas não implementado.</t>
  </si>
  <si>
    <t>A verificação no registro de reúso do conjunto de dados no Portal Brasileiro de Dados Abertos não identificou aplicações, produtos ou serviços desenvolvidos que o utilizem. A métrica DGABr 2.0, em sua dimensão D25 reformulada, utiliza como evidência principal o levantamento de tais registros para quantificar o reúso efetivo. A ausência de aplicações documentadas corresponde, segundo os critérios da métrica, à não existência de resultados para o item avaliado.
Com base na evidência de zero aplicações identificadas, atribui-se o Nível 0 a esta dimensão. Esta avaliação reflete a ausência de comprovação de reúso, conforme o método de mensuração estabelecido pela versão atualizada da métrica.</t>
  </si>
  <si>
    <t>A análise do PDA evidencia a descrição de canais de comunicação com a sociedade civil, como e-mail e o portal institucional. Contudo, não foram identificados no documento registros de ações proativas de engajamento, como a promoção de eventos ou outras iniciativas destinadas a fomentar o reúso dos dados, conforme o escopo da dimensão D27. A disponibilização de contatos e a existência de ferramentas de feedback no portal dados.gov.br são observadas, porém são caracterizadas como mecanismos passivos de comunicação, não se configurando como ações de promoção.
A ausência de evidências documentais sobre estratégias ou ações efetivas de engajamento para incentivar o reúso dos dados pela sociedade civil fundamenta a atribuição do Nível 0 a esta dimensão.</t>
  </si>
  <si>
    <t>Verifica-se a ausência de um metadado que especifique formalmente o vocabulário controlado utilizado no conjunto de dados. A avaliação procedeu, portanto, pela análise das palavras-chave associadas, onde se constatou que os termos "educação", "educação básica", "educação profissionalizante" e "educação superior" estão contidos no VCGE. Esta conformidade, ainda que restrita aos metadados de catalogação, representa uma aplicação parcial do padrão recomendado.
A utilização de termos do VCGE nas palavras-chave indica uma aderência parcial aos requisitos da dimensão D18. Contudo, a falta de evidências sobre a aplicação de um vocabulário controlado nos campos internos do conjunto de dados impede a atribuição de um nível superior.  Atribui-se o Nível 4.</t>
  </si>
  <si>
    <t>https://dados.gov.br/dados/conjuntos-dados/quantitativo-de-estudantes-com-necessidades-educacionais-especificas-atendidos-pelos-napnees</t>
  </si>
  <si>
    <t>https://dadosabertos.ifmg.edu.br/dataset/quantitativo-de-estudantes-com-necessidades-educacionais-especificas-atendidos-pelos-napnees</t>
  </si>
  <si>
    <t>Com base nas evidências apresentadas, a análise do conjunto de dados indica que, embora a informação seja originária da Coordenadoria de Registro Acadêmico, os dados foram disponibilizados em formato agregado. Esta condição diverge do critério estabelecido pela dimensão D2 (Dados primários), a qual preconiza a publicação de dados brutos, com o máximo nível de granularidade e sem modificações.
A ausência de dados primários, conforme definido pela métrica DGABr, fundamenta a atribuição do Nível 0 a esta dimensão. A justificativa se alinha à definição do nível, que se aplica quando o item avaliado não é publicado conforme o padrão exigido, neste caso, a granularidade original da informação.</t>
  </si>
  <si>
    <t>O conjunto de dados é disponibilizado para acesso público via web, não requerendo identificação, cadastro ou login para sua obtenção. A verificação da acessibilidade foi realizada por meio de uma API, conforme o endereço eletrônico documentado, confirmando a ausência de barreiras de acesso. Tais características demonstram o cumprimento integral (100%) dos critérios para a dimensão D4, o que fundamenta a atribuição do Nível 5.</t>
  </si>
  <si>
    <t>A análise do conjunto de dados confirmou que o acesso aos recursos é público e irrestrito, ocorrendo via web. A verificação dos pontos de acesso, incluindo a URL direta e a API, não identificou a exigência de cadastro, login ou qualquer outra forma de identificação para a obtenção dos dados. A ausência de barreiras de acesso, tanto para consulta manual quanto para consumo programático, atende integralmente aos critérios definidos para a dimensão D6.
A conformidade total com o requisito de acesso não discriminatório justifica a atribuição do Nível 5, que, segundo a métrica DGABr, corresponde ao cumprimento de 100% do padrão avaliado.</t>
  </si>
  <si>
    <t>A análise do conjunto de dados indica que os arquivos são disponibilizados nos formatos CSV e JSON. Ambos os formatos são classificados como não proprietários, em conformidade com as especificações da dimensão D7 da métrica DGABr. Uma vez que a totalidade (100%) dos formatos de arquivo oferecidos atende ao critério, a atribuição do nível 5 é tecnicamente justificada.</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</si>
  <si>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"http://dadosabertos.ifmg.edu.br/dataset/7946465e-590e-4664-a18f-3f4f29f02ff5/resource/23282b44-8dea-4780-b5d0-9b54cd6bfc66/download/atualizacao_09-2024_proen09_-_certificados_e_declaracoes_parciais_com_base_no_encceja.xlsx.json"</t>
  </si>
  <si>
    <t>Com base na metodologia da métrica DGABr 2.0, o nível da dimensão D16 (Qualidade dos Dados) é determinado por um cálculo mecânico, e não por avaliação direta. O procedimento consiste na apuração da média aritmética dos níveis obtidos nas dez dimensões (D1 a D10) que compõem a perspectiva "Dados Abertos".
 A aplicação da fórmula resulta em uma média de 2,4. Conforme o padrão da métrica, que utiliza valores inteiros para os níveis, o resultado é truncado, o que fundamenta a atribuição do Nível 2 a esta dimensão.</t>
  </si>
  <si>
    <t>Constata-se a ausência de um metadado explícito para a declaração de vocabulário controlado no conjunto de dados analisado. No entanto, a inspeção das palavras-chave associadas revela o uso de termos ("educação", "educação básica") que integram o VCGE). Esta conformidade, embora restrita a um campo específico de metadados, evidencia uma aplicação parcial dos padrões recomendados pela métrica.
A ausência de uma declaração formal do vocabulário e a falta de evidências sobre sua aplicação em outros campos do conjunto de dados impedem a atribuição de um nível superior. Desta forma, atribui-se o Nível 4, considerando o uso do VCGE no metadado de palavras-chave, mas sem garantia de sua aplicação extensiva.</t>
  </si>
  <si>
    <t>A análise documental evidencia que o PDA da instituição define a cobertura geográfica dos dados nos níveis estadual e municipal. Entretanto, a verificação do conjunto de dados não identifica campos que permitam representar essa abrangência, o que impede a segmentação espacial prevista no plano. Na métrica DGABr, a dimensão D19 avalia a aderência entre a cobertura geográfica definida no PDA e sua implementação no conjunto. Diante dessa inconsistência, atribui-se o nível 2 para a dimensão.</t>
  </si>
  <si>
    <t>Com base na análise do PDA da instituição, identifica-se a presença de um cronograma para a publicação de conjuntos de dados. Contudo, não foram localizados no documento critérios explícitos que orientem a priorização da abertura, tais como a definição de áreas temáticas estratégicas ou a referência a dados demandados por meio do Serviço de Informação ao Cidadão (e-SIC), conforme preconizado pela dimensão D21 da métrica DGABr.
A ausência de uma estratégia de priorização documentada fundamenta a atribuição do Nível 1. Esta classificação se justifica porque, embora exista um instrumento de planejamento (o PDA com seu cronograma), o componente estratégico referente à seleção e priorização de dados ainda não se encontra formalizado. A situação observada corresponde a um estágio inicial de planejamento, no qual a seleção de dados para publicação carece de critérios específicos e auditáveis, alinhando-se à definição de um processo em desenvolvimento, mas ainda não executável.</t>
  </si>
  <si>
    <t>A consulta à funcionalidade de registro de reúso no Portal Brasileiro de Dados Abertos não identificou o desenvolvimento de aplicações, produtos ou serviços que utilizem o conjunto de dados em análise. Com base nesta evidência, e em conformidade com a métrica DGABr 2.0, que avalia o reúso efetivo, atribui-se o Nível 0 a esta dimensão, dado que não foram localizados registros que comprovem a utilização do referido conjunto de dados.</t>
  </si>
  <si>
    <t>A consulta ao registro de reúso no Portal Brasileiro de Dados Abertos não retornou evidências de aplicações, produtos ou serviços que utilizem o conjunto de dados em análise. A avaliação da dimensão D26, que mensura a quantidade de conjuntos de dados distintos empregados em uma aplicação, é metodologicamente dependente da identificação prévia de ao menos uma aplicação na dimensão D25. Na ausência de um caso de reúso documentado, a contagem de conjuntos de dados torna-se inaplicável.
Diante da inexistência de uma aplicação de referência, atribui-se o Nível 0 a esta dimensão. A justificativa se fundamenta na impossibilidade de quantificar o item avaliado, alinhando-se à definição da métrica para situações em que o objeto de mensuração não se manifesta.</t>
  </si>
  <si>
    <t>A análise documental do PDA indica a descrição de canais de comunicação com a sociedade civil, como e-mail e o portal institucional. Adicionalmente, observa-se a disponibilidade de ferramentas de feedback no portal dados.gov.br e a identificação de contatos institucionais. Contudo, não foram localizadas evidências de ações proativas de engajamento, como a promoção de eventos, hackathons ou outras iniciativas destinadas a fomentar o reúso dos dados, que são o foco da dimensão D27.
A mera existência de canais de comunicação é insuficiente para caracterizar o engajamento ativo previsto pela métrica. A ausência de documentação que comprove a realização de ações específicas para incentivar a utilização dos dados pela sociedade civil fundamenta a atribuição do Nível 0 a esta dimensão, uma vez que o item avaliado não foi executado ou definido pela instituição.</t>
  </si>
  <si>
    <t>https://dadosabertos.ifmg.edu.br/dataset/certificados-e-declaracoes-parciais-com-base-nos-resultados-do-encceja</t>
  </si>
  <si>
    <t>https://dados.gov.br/dados/conjuntos-dados/certificados-e-declaracoes-parciais-com-base-nos-resultados-do-encceja</t>
  </si>
  <si>
    <t>https://dadosabertos.ifmg.edu.br/api/action/package_show?id=certificados-e-declaracoes-parciais-com-base-nos-resultados-do-encceja</t>
  </si>
  <si>
    <t>https://dadosabertos.ifmg.edu.br/api/action/package_show?id=divulgacoes-do-ifmg</t>
  </si>
  <si>
    <t>https://dadosabertos.ifmg.edu.br/dataset/divulgacoes-do-ifmg</t>
  </si>
  <si>
    <t>A análise do conjunto de dados "Divulgações do IFMG", cujo compromisso de publicação está estabelecido no PDA da instituição, indica um cumprimento parcial da dimensão D1 (Dados completos). A evidência aponta que a última atualização, realizada em setembro de 2024, disponibilizou informações com cobertura temporal somente até junho de 2024. Considerando que a frequência de atualização definida no PDA é semestral, a ausência de dados referentes ao período completo esperado caracteriza o conjunto como incompleto.
Além disse os dados estão agregados com o quantitativo de divulgações, deixando claro que faltam informações para serem publicadas.
Com base nesta constatação, atribui-se o Nível 2. A justificativa para esta classificação reside no fato de que o conjunto de dados foi publicado, mas não em sua totalidade.</t>
  </si>
  <si>
    <t>Verifica-se que o conjunto de dados é composto por informações agregadas, não correspondendo, portanto, a dados primários, os quais se caracterizam pela granularidade máxima e ausência de modificações. Adicionalmente, não foi identificada documentação técnica que justifique ou descreva a metodologia de agregação empregada. A ausência de dados brutos, coletados diretamente da fonte, e a falta de transparência no processo de consolidação das informações fundamentam a atribuição do Nível 0 a esta dimensão, conforme os critérios da métrica DGABr.</t>
  </si>
  <si>
    <t>O conjunto de dados atende integralmente aos critérios de acessibilidade definidos pela métrica. A análise confirmou que os dados são disponibilizados para acesso público via web, não sendo exigida qualquer forma de autenticação, como cadastro ou login, para sua obtenção. A acessibilidade é ampliada pela disponibilização de uma API, cujo funcionamento foi verificado por meio de consulta ao *endpoint* documentado.
A ausência total de barreiras de acesso, combinada com a oferta de múltiplos meios para a obtenção dos dados, demonstra conformidade integral com os requisitos da dimensão. Com base nessas evidências, atribui-se o Nível 5, que corresponde ao cumprimento de 100% dos critérios estabelecidos.</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</si>
  <si>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"http://dadosabertos.ifmg.edu.br/dataset/626fa716-9880-4f1c-9c53-b02945129bcf/resource/261cdb5c-659d-4f25-b298-0640b0f07f9a/download/conjunto-de-dados-divulgacoes-do-ifmg.csv."</t>
  </si>
  <si>
    <t>https://dados.gov.br/dados/conjuntos-dados/divulgacoes-do-ifmg1</t>
  </si>
  <si>
    <t>A dimensão D28, conforme a métrica DGABr, avalia se os produtos ou serviços que reutilizam os DGA (DGA) informam explicitamente aos seus usuários as fontes de dados utilizadas e a frequência de sua atualização. A aferição desta dimensão é, portanto, condicionada à prévia identificação de aplicações que façam uso do conjunto de dados em análise, critério avaliado na dimensão D25.
Na análise do conjunto de dados do PRONATEC, não foram identificados produtos, serviços ou aplicações que o reutilizassem. A ausência de instâncias de reúso inviabiliza a verificação do critério estabelecido pela dimensão D28. De acordo com a estrutura da métrica, quando o item avaliado é inexistente ou sua premissa não é atendida, atribui-se o Nível 0.</t>
  </si>
  <si>
    <t>Com base na análise do PDA e dos portais de dados associados, observa-se a disponibilização de canais de comunicação, como endereços de e-mail institucionais e a identificação nominal do responsável pelo conjunto de dados, além das ferramentas de feedback padrão do portal dados.gov.br. Contudo, a documentação consultada, especificamente o PDA, limita-se a descrever a existência desses canais, sem apresentar um planejamento ou registro de ações proativas de engajamento com a sociedade civil.
A dimensão D27 da métrica DGABr avalia a promoção de iniciativas como eventos, hackathons ou o desenvolvimento de sistemas específicos para incentivar o reúso dos dados. Uma vez que não foram encontradas evidências de tais ações no documento de planejamento do órgão, a mera existência de canais de contato passivos é insuficiente para atender aos critérios da dimensão. A ausência de definição formal de estratégias de engajamento no PDA fundamenta, portanto, a atribuição do Nível 0.</t>
  </si>
  <si>
    <t>A consulta ao registro de reúso no Portal Brasileiro de Dados Abertos não identificou aplicações, produtos ou serviços que utilizem o conjunto de dados em análise. A ausência de evidências de reúso impacta diretamente a avaliação da dimensão D25 (Quantidade de aplicações desenvolvidas), que, por sua vez, é um pré-requisito para a mensuração da dimensão D26 (Quantidade de conjuntos de dados utilizados).
Visto que a métrica DGABr 2.0 estabelece que a D26 quantifica os conjuntos de dados empregados em uma aplicação previamente identificada na D25, a inexistência de tal aplicação impede a aferição da D26. Desta forma, a falta de registros de reúso fundamenta a atribuição do Nível 0 a ambas as dimensões, conforme os critérios da métrica para itens não encontrados ou não executados.</t>
  </si>
  <si>
    <t>A consulta ao registro de reúso disponível no Portal Brasileiro de Dados Abertos não identificou aplicações, produtos ou serviços que utilizem o conjunto de dados em análise. A dimensão D25, conforme reformulada na DGABr 2.0, estabelece esta consulta como a principal fonte de evidência para a mensuração do reúso. A ausência de registros documentados que comprovem a utilização do conjunto de dados fundamenta, portanto, a atribuição do Nível 0, em conformidade com os critérios da métrica para itens não observados.</t>
  </si>
  <si>
    <t>Constata-se que, embora o conjunto de dados esteja previsto no PDA da instituição, houve descumprimento do cronograma de publicação estabelecido. A análise documental indica que o prazo para a disponibilização do referido conjunto era outubro de 2023; no entanto, a publicação efetivou-se somente em setembro de 2024. Esta evidência alinha-se à definição do Nível 2 da métrica DGABr, que se aplica quando a instituição possui uma norma ou recomendação definida, mas a execução não segue os compromissos e metas estipulados. Portanto, a atribuição do Nível 2 fundamenta-se no não cumprimento do prazo de publicação definido no plano.</t>
  </si>
  <si>
    <t>Constatou-se que os conjuntos de dados da instituição estão catalogados no Portal Brasileiro de Dados Abertos, conforme evidenciado pelo endereço eletrônico fornecido. A métrica DGABr 2.0, em sua dimensão D20, estabelece como critério principal a catalogação dos dados no portal nacional, independentemente da existência de um catálogo próprio. A presença de um catálogo institucional, também observada, constitui uma prática complementar, mas não substitui o requisito central.
O cumprimento integral do critério de catalogação no portal de referência nacional justifica a atribuição do nível 5. Esta avaliação reflete o atendimento de 100% do padrão definido para a dimensão, que visa centralizar e facilitar o acesso aos dados governamentais em uma plataforma unificada.</t>
  </si>
  <si>
    <t>O PDA da instituição delimita o escopo geopolítico de sua atuação ao especificar a cobertura estadual (Minas Gerais) e a distribuição de suas unidades em múltiplos municípios. A documentação de referência, que inclui um mapa e a listagem das unidades, corrobora a definição do escopo geográfico institucional, fornecendo o contexto para os dados publicados.
A atribuição do Nível 5 fundamenta-se no cumprimento do critério da dimensão D19, que avalia se a cobertura geográfica dos dados está de acordo com o estipulado no PDA. Embora se observe que o conjunto de dados específico em análise não contém campos explícitos de identificação geográfica, a avaliação considerou que a definição formal da abrangência no PDA é suficiente para atender integralmente ao requisito desta dimensão.</t>
  </si>
  <si>
    <t>O conjunto de dados “Divulgações do IFMG” apresenta informações atualizadas até junho de 2024. O PDA do IFMG estabelece frequência semestral para esse conjunto; entretanto, os dados não contemplam o período subsequente, indicando desatualização. Observa-se também que as divulgações possuem dinâmica de produção semanal, e em alguns casos diária, o que exige periodicidade mais elevada para que o conjunto mantenha seu valor informacional. Assim, considerando que existe frequência definida, ainda que insuficiente para preservar o potencial dos dados, atribui-se o nível 1 para esta dimensão.</t>
  </si>
  <si>
    <t>Com base na metodologia da métrica DGABr 2.0, o nível da dimensão D16 (Qualidade dos Dados) é determinado por cálculo, não por avaliação direta. O valor corresponde à média aritmética dos níveis atribuídos às dez dimensões da perspectiva "Dados Abertos" (D1 a D10). A aplicação da fórmula, com base nos níveis observados, resulta no valor de 2,7. O que fundamenta a atribuição do Nível 3.</t>
  </si>
  <si>
    <t>https://dados.gov.br/dados/conjuntos-dados/portarias-publicadas-pela-reitoria-do-ifmg-2023</t>
  </si>
  <si>
    <t>https://dadosabertos.ifmg.edu.br/dataset/portarias-publicadas-pela-reitoria-do-ifmg-2023</t>
  </si>
  <si>
    <t>https://dadosabertos.ifmg.edu.br/api/action/package_show?id=portarias-publicadas-pela-reitoria-do-ifmg-2023</t>
  </si>
  <si>
    <t>A análise do conjunto de dados "Portarias publicadas pela reitoria do IFMG 2023" evidencia que este não consta no PDA da instituição. A ausência de previsão no referido plano impede a verificação da completude dos dados, uma vez que não há um escopo formalmente definido contra o qual a publicação possa ser comparada, o que compromete a avaliação da dimensão D1.
Consequentemente, atribui-se o Nível 0 a esta dimensão. A justificativa para tal classificação reside na ausência de uma definição institucional documentada no PDA que estabeleça os critérios para considerar o conjunto de dados como completo, alinhando-se à definição da métrica para este nível. Embora os dados referentes ao ano de 2023 estejam publicados, a métrica avalia a conformidade com um escopo planejado, o qual, neste caso, é inexistente.</t>
  </si>
  <si>
    <t>A análise do conjunto de dados indica que as informações são apresentadas em sua forma bruta, correspondendo aos registros originais gerados pela própria instituição. Não foram identificados processos de agregação, sumarização ou tratamento interpretativo que alterem a granularidade da fonte, o que é consistente com a definição de dados primários (D2) da métrica.
Visto que as evidências demonstram o cumprimento integral do critério, que exige a disponibilização dos dados em sua forma original e sem modificações, atribui-se o Nível 5. Este nível corresponde, segundo a DGABr, ao atendimento de 100% dos padrões definidos para a dimensão.</t>
  </si>
  <si>
    <t>A verificação do acesso ao conjunto de dados confirmou sua disponibilidade pública e irrestrita. O acesso é realizado via web e não requer qualquer forma de identificação, cadastro ou autenticação por parte do usuário. Adicionalmente, constatou-se a disponibilização de uma API, que permite o acesso programático e o download automatizado dos dados. O cumprimento integral dos requisitos estabelecidos pela métrica para esta dimensão, que avalia a acessibilidade sem barreiras, fundamenta a atribuição do Nível 5.</t>
  </si>
  <si>
    <t>A análise do conjunto de dados evidencia que o acesso é público e irrestrito. A disponibilização ocorre tanto por meio de interface web, em sua página de catalogação, quanto de forma programática, via API. A verificação de ambos os pontos de acesso confirmou a ausência de barreiras, como a necessidade de registro, login ou qualquer outro mecanismo de autenticação para o download dos recursos.
Dessa forma, atribui-se o Nível 5, pois o critério de acesso não discriminatório é cumprido em sua totalidade (100%), em conformidade com a definição da dimensão D6 da métrica DGABr. A existência de múltiplos canais de acesso abertos e sem restrições constitui a evidência para a pontuação máxima nesta dimensão.</t>
  </si>
  <si>
    <t>Observa-se que o conjunto de dados é disponibilizado nos formatos CSV e JSON. Conforme as especificações da métrica DGABr, ambos são classificados como formatos não proprietários, pois não impõem barreiras de licenciamento de software para o seu acesso e manipulação. A disponibilização de 100% dos recursos em conformidade com este critério fundamenta a atribuição do Nível 5, indicando o cumprimento integral da dimensão D7.</t>
  </si>
  <si>
    <t>O PDA da instituição define a abrangência territorial de sua atuação como estadual, com detalhamento das unidades distribuídas em múltiplos municípios. Esta especificação estabelece o critério para a avaliação da dimensão geográfica dos conjuntos de dados publicados, conforme preconiza a dimensão D19 da métrica DGABr, que avalia se a cobertura geográfica dos dados está de acordo com o estipulado no plano.
Contudo, a análise do conjunto de dados evidencia a ausência de campos que permitam a segmentação geográfica, como a identificação do município ou do campus de origem da informação. Esta lacuna impede a verificação da conformidade com a cobertura geográfica definida no PDA. A atribuição do Nível 3 (Executado parcialmente), que pressupõe o cumprimento de ao menos 50% do critério, carece de evidências que a sustentem, uma vez que os elementos observados indicam uma desconformidade entre o planejado e o executado. Para justificar tal nível, seria necessário demonstrar que ao menos metade dos registros ou recursos do conjunto de dados contém a informação geográfica esperada.</t>
  </si>
  <si>
    <t>Verificou-se que o conjunto de dados está catalogado no Portal Brasileiro de Dados Abertos (dados.gov.br), o que atende integralmente ao critério estabelecido pela dimensão D20. A métrica DGABr condiciona a avaliação à presença dos dados no catálogo nacional, independentemente da existência de portais institucionais próprios, como o também observado `dadosabertos.ifmg.edu.br`. Uma vez que o requisito principal foi cumprido em sua totalidade, atribui-se o Nível 5, correspondente a 100% de conformidade com o padrão de catalogação exigido.</t>
  </si>
  <si>
    <t>A análise do PDA evidencia a existência de um cronograma para a publicação de conjuntos de dados. Contudo, não foram identificados no documento critérios formais para a priorização da abertura, tais como a relevância temática, a demanda social manifestada por meio de canais como o e-SIC, ou outros parâmetros estratégicos. A ausência desses elementos indica que a seleção dos conjuntos de dados a serem abertos não segue uma estratégia documentada, o que constitui um requisito central da dimensão D21.
O Nível 1, "Em construção", é atribuído com base na constatação de que, embora exista um plano de ação (o cronograma), a definição da estratégia de priorização, componente essencial da dimensão, ainda não foi formalizada. A existência do cronograma impede a classificação como Nível 0 ("Inexistente"), mas a falta de critérios explícitos de priorização não permite alcançar os níveis de execução (Nível 2 ou superior), que pressupõem a existência de uma norma ou recomendação definida para o item avaliado.</t>
  </si>
  <si>
    <t>A consulta ao registro de reúso no Portal Brasileiro de Dados Abertos não identificou aplicações, produtos ou serviços que utilizem o conjunto de dados em análise. Conforme a estrutura da métrica DGABr 2.0, a dimensão D25 (“Quantidade de aplicações desenvolvidas”) mensura o reúso efetivo por meio da contagem de tais implementações. A ausência de evidências de reúso fundamenta a atribuição do Nível 0 para esta dimensão, uma vez que não foram localizados registros que comprovem a utilização do conjunto de dados.</t>
  </si>
  <si>
    <t>Atribui-se o Nível 0 à dimensão D26, "Quantidade de conjuntos de dados utilizados", uma vez que sua avaliação é intrinsecamente dependente da identificação prévia de ao menos uma aplicação que reutilize os dados do órgão, conforme estabelecido na dimensão D25. A verificação foi conduzida por meio da consulta à funcionalidade de "registro de reúso" no Portal Brasileiro de Dados Abertos, conforme previsto na metodologia da DGABr 2.0. Na referida plataforma, não foram localizados registros de aplicações, produtos ou serviços que declarem o uso do conjunto de dados em análise.
A ausência de aplicações identificadas na avaliação da dimensão D25 impede, por consequência, a quantificação de conjuntos de dados utilizados, resultando na pontuação mínima para a dimensão D26. Esta constatação representa uma lacuna de evidência de reúso, conforme os critérios mensuráveis pela métrica.</t>
  </si>
  <si>
    <t>A verificação realizada no Portal Brasileiro de Dados Abertos, por meio da funcionalidade de registro de reúso, não identificou produtos, serviços ou outras aplicações que utilizem o conjunto de dados em análise. A dimensão D28 avalia se os produtos gerados a partir dos DGA informam sobre as fontes de dados utilizadas. Visto que a existência de tais produtos constitui um pré-requisito para esta análise, a ausência de evidências de reúso impede a avaliação do critério.
Diante da inexistência de aplicações que reutilizem os dados, a condição avaliada pela dimensão é, por consequência, inexistente. Desta forma, atribui-se o Nível 0, em conformidade com a estrutura da métrica DGABr para itens não encontrados ou não aplicáveis.</t>
  </si>
  <si>
    <t>A análise da dimensão D22, "Estratégias de investimento e cronograma", revelou que o conjunto de dados consta no PDA mais recente, com previsão de publicação para outubro de 2023. Contudo, a efetiva disponibilização do referido conjunto ocorreu somente em setembro de 2024, o que configura um descumprimento do cronograma estabelecido no plano.
Conforme a metodologia da métrica DGABr, a existência de um planejamento formal (o PDA) cujos prazos e metas não são executados caracteriza o Nível 2. A evidência do atraso na publicação, portanto, fundamenta a atribuição deste nível, indicando que, embora exista uma estratégia documentada, sua implementação não foi cumprida conforme o planejado.</t>
  </si>
  <si>
    <t>A análise do conjunto de dados "Disciplinas dos Cursos de Graduação" indica que as informações publicadas se referem ao primeiro semestre letivo de 2024. A verificação do PDA mais recente para o período 2023-2025, contudo, revela que este conjunto de dados não consta entre os compromissos de publicação formalizados pela instituição. A ausência de previsão no PDA impede a aferição da completude dos dados, uma vez que não há um escopo definido (e.g., séries históricas, variáveis obrigatórias) contra o qual a publicação possa ser comparada.
Diante da inexistência de uma definição institucional para o item avaliado, atribui-se o Nível 0 a esta dimensão. A classificação se fundamenta no critério da métrica DGABr que estabelece o Nível 0 para situações em que "não há definição para o item avaliado", ainda que o dado esteja publicado. A lacuna evidenciada não reside na publicação em si, mas na ausência de sua formalização e detalhamento no instrumento de planejamento de dados abertos.</t>
  </si>
  <si>
    <t>A análise do conjunto de dados "Link de internet" evidencia a publicação de informações referentes ao ano de 2024. A avaliação da dimensão D1 (Dados completos), conforme a métrica DGABr, pressupõe a comparação entre o conteúdo publicado e o escopo definido no PDA do órgão. A consulta ao PDA mais recente (2023/08-2025/08) indica que o referido conjunto de dados não está listado no planejamento de publicações.
A ausência de uma definição formal sobre a abrangência e o escopo esperados para este conjunto de dados inviabiliza a mensuração de sua completude em termos percentuais. Desta forma, atribui-se o Nível 0, em conformidade com o critério da métrica que se aplica quando "não tem definição para o item avaliado". A lacuna evidencial reside na inexistência de um parâmetro oficial no PDA contra o qual a completude do conjunto de dados pudesse ser aferida.</t>
  </si>
  <si>
    <t>O conjunto de dados "Chamados de suporte" não consta no PDA mais recente (2023/08-2025/08), o que impede a aferição de uma frequência de atualização formalmente estabelecida pela instituição. Embora o recurso contenha registros referentes ao ano de 2024, a métrica DGABr, em sua dimensão D3, avalia o cumprimento de uma periodicidade previamente definida, seja no PDA ou nos metadados do próprio conjunto de dados. A ausência de tal definição constitui uma lacuna de evidência para a avaliação do cumprimento.
Diante da inexistência de um compromisso de atualização documentado para este conjunto de dados, atribui-se o Nível 0. A justificativa para esta classificação reside no fato de que, para a dimensão em análise, não há uma norma ou recomendação definida pela instituição que permita aferir sua execução. Tal cenário alinha-se à descrição do Nível 0, que contempla a ausência de definição para o item avaliado.</t>
  </si>
  <si>
    <t>Observa-se que o conjunto de dados "Matrículas Iniciais nos Cursos Técnicos e de Graduação" não consta no PDA mais recente da instituição. De acordo com a metodologia da métrica DGABr, o PDA funciona como o instrumento de planejamento que define o escopo e os critérios de completude para um determinado conjunto de dados, incluindo a série histórica e as variáveis esperadas. A ausência de tal especificação no plano inviabiliza uma avaliação objetiva sobre se os dados publicados estão completos, conforme preconiza a dimensão D1.
Diante da lacuna de evidência documental que defina o que constitui a completude para este conjunto de dados específico, atribui-se o Nível 0 – Inexistente. A justificativa para esta classificação reside no fato de que, na ausência de um compromisso formalizado no PDA, considera-se que "não há definição para o item avaliado", alinhando-se estritamente à descrição do Nível 0 na estrutura da métrica.</t>
  </si>
  <si>
    <t>A análise do conjunto de dados "Matrículas Iniciais nos Cursos Técnicos e de Graduação" evidencia que este não consta no PDA mais recente da instituição. A dimensão D3 da métrica DGABr avalia o cumprimento da frequência de atualização definida para um conjunto de dados. A ausência do referido conjunto no PDA implica a inexistência de uma frequência de atualização formalmente estabelecida e publicizada, tornando inviável a verificação do cumprimento temporal.
Com base nesta evidência, atribui-se o Nível 0 à dimensão. A justificativa para esta classificação reside no fato de que, para o conjunto de dados em questão, "não há definição para o item avaliado", critério que, segundo a documentação da métrica, caracteriza o Nível 0. A publicação de um conjunto de dados não previsto no PDA representa uma lacuna no planejamento gerencial que impede a avaliação objetiva de sua temporalidade.</t>
  </si>
  <si>
    <t>Constata-se que o conjunto de dados "Certificados de Conclusão do Ensino Médio e Declarações Parciais de Proficiência Emitidos com Base nos Resultados do Encceja" não consta no PDA mais recente da instituição. A ausência de registro no referido plano implica a inexistência de uma frequência de atualização formalmente definida, que serve como parâmetro para a avaliação da dimensão D3 (Dados atualizados).
Uma vez que a métrica DGABr avalia o cumprimento de uma periodicidade previamente estabelecida, a falta deste compromisso impede a aferição. Diante da ausência de evidência documental que defina a temporalidade da publicação, atribui-se o Nível 0.</t>
  </si>
  <si>
    <t>Constata-se que a instituição possui um PDA mais recente, o qual inclui um cronograma para a publicação de DGA. No entanto, a análise documental revela uma desconformidade entre o planejamento e a execução, uma vez que o conjunto de dados objeto desta avaliação não está previsto no referido cronograma. Tal divergência fundamenta a atribuição do Nível 2, aplicável quando a instituição possui uma norma ou recomendação definida, mas a publicação dos dados não segue o que foi estabelecido.</t>
  </si>
  <si>
    <t>A análise das URLs dos recursos associados ao conjunto de dados evidencia a adoção de uma estrutura de nomenclatura padronizada. Existe o uso de identificadores únicos (UUIDs) para o conjunto de dados e para o recurso específico, o que contribui para a estabilidade e persistência do endereço eletrônico. Contudo, a estrutura não é considerada "amigável" ou de fácil memorização, conforme preconizado pela métrica, pois é composta por códigos alfanuméricos extensos. A identificação semântica do conteúdo depende exclusivamente do nome do arquivo ao final da URL, e não de um padrão hierárquico legível em seu caminho.
Para a atribuição de um nível em conformidade com a DGABr 2.0, contudo, exige-se, para os níveis 3, 4 e 5, a comprovação de uma "política de gestão e preservação de documentos arquivísticos digitais". Adicionalmente, a análise não registra a verificação da estabilidade e persistência dos links, um componente implícito na avaliação original. Sem a evidência documental da política de preservação e um teste de estabilidade, a atribuição de um nível superior a 2 não pode ser tecnicamente fundamentada. Por isso se atribui o Nível 2. Exemplo de URL do conjunto de dados: "http://dadosabertos.ifmg.edu.br/dataset/95ea0b18-7122-417d-9b2f-0768ab4b0c56/resource/2cd1fae2-c5ee-4277-b845-ed2c27d1ed6e/download/conjunto-de-dados-portarias-publicadas-pelo-gabinete-da-reitoria-do-ifmg-em-2023.html"</t>
  </si>
  <si>
    <t xml:space="preserve">O nível para a dimensão D16 (Qualidade dos Dados) não é atribuído por avaliação direta, mas determinado pela média aritmética dos níveis obtidos nas dez dimensões da perspectiva "Dados Abertos" (D1 a D10), conforme estabelecido pela metodologia da métrica. A partir das pontuações individuais observadas, obteve-se o resultado de 2,9.
Com base neste valor e por arredondamento ao inteiro mais próximo, foi atribuído o Nível 3. </t>
  </si>
  <si>
    <t>A análise dos metadados do conjunto de dados evidencia o fornecimento de informações essenciais, como autoria, descrição, formato e licenciamento, atendendo a um percentual superior a 80% dos requisitos mínimos estipulados pela métrica. Contudo, a conformidade com os princípios FAIR, um dos critérios para a atribuição do nível máximo na DGABr 2.0 para a dimensão D17, é parcial. Identificam-se como lacunas técnicas a ausência de um sistema de versionamento explícito para os arquivos e a não utilização de ontologias ou vocabulários formais que estabeleçam vínculos semânticos com outros recursos de dados, o que limita a interoperabilidade.
Diante do exposto, o cumprimento elevado dos metadados básicos justifica a superação do Nível 4, enquanto as lacunas identificadas na aplicação dos princípios FAIR impedem a atribuição do Nível 5.</t>
  </si>
  <si>
    <t>Indice de Reúso do IFMG</t>
  </si>
  <si>
    <t>Total de pontos</t>
  </si>
  <si>
    <t>Média</t>
  </si>
  <si>
    <r>
      <t>A análise do conjunto de dados indica a ausência de vínculos com fontes de dados externas que permitam a contextualização das informações, conforme preconizado pelo princípio de dados ligados (</t>
    </r>
    <r>
      <rPr>
        <i/>
        <sz val="10"/>
        <color theme="1"/>
        <rFont val="Times New Roman"/>
        <family val="1"/>
      </rPr>
      <t>linked data</t>
    </r>
    <r>
      <rPr>
        <sz val="10"/>
        <color theme="1"/>
        <rFont val="Times New Roman"/>
        <family val="1"/>
      </rPr>
      <t>). Não foram identificadas referências, como o uso de RDF (</t>
    </r>
    <r>
      <rPr>
        <i/>
        <sz val="10"/>
        <color theme="1"/>
        <rFont val="Times New Roman"/>
        <family val="1"/>
      </rPr>
      <t>Resource Description Framework</t>
    </r>
    <r>
      <rPr>
        <sz val="10"/>
        <color theme="1"/>
        <rFont val="Times New Roman"/>
        <family val="1"/>
      </rPr>
      <t>) ou outras tecnologias semânticas, que conectem os registros a outros vocabulários ou conjuntos de dados. De acordo com a estrutura da métrica DGABr, a não implementação do item avaliado na dimensão D10 justifica a atribuição do Nível 0.</t>
    </r>
  </si>
  <si>
    <t>https://dados.gov.br/dados/conjuntos-dados/dados-abertos-projetos-extensao-ifmg</t>
  </si>
  <si>
    <r>
      <t xml:space="preserve">A análise do conjunto de dados demonstrou que o acesso aos recursos é público e irrestrito, tanto por meio da página web do </t>
    </r>
    <r>
      <rPr>
        <i/>
        <sz val="10"/>
        <color theme="1"/>
        <rFont val="Times New Roman"/>
        <family val="1"/>
      </rPr>
      <t>dataset</t>
    </r>
    <r>
      <rPr>
        <sz val="10"/>
        <color theme="1"/>
        <rFont val="Times New Roman"/>
        <family val="1"/>
      </rPr>
      <t xml:space="preserve"> quanto via API. Não foi identificada a exigência de cadastro, login ou qualquer outra forma de autenticação para a consulta ou o </t>
    </r>
    <r>
      <rPr>
        <i/>
        <sz val="10"/>
        <color theme="1"/>
        <rFont val="Times New Roman"/>
        <family val="1"/>
      </rPr>
      <t>download</t>
    </r>
    <r>
      <rPr>
        <sz val="10"/>
        <color theme="1"/>
        <rFont val="Times New Roman"/>
        <family val="1"/>
      </rPr>
      <t xml:space="preserve"> dos dados. O cumprimento integral (100%) do requisito de acesso não discriminatório, conforme estipulado pela métrica, fundamenta a atribuição do Nível 5.</t>
    </r>
  </si>
  <si>
    <t>O nível atribuído a esta dimensão não resulta de uma avaliação direta, mas de um cálculo estipulado pela metodologia da métrica DGABr. Conforme a documentação, o nível da dimensão D16 (Qualidade dos Dados) corresponde à média aritmética dos níveis obtidos nas dez dimensões que compõem a perspectiva "Dados Abertos" (D1 a D10). A evidência para a atribuição do nível baseia-se na aplicação desta fórmula aos resultados observados. A média resulta no valor de 2,9, que, arredondado para o inteiro mais próximo, define o Nível 3 para a dimensão.</t>
  </si>
  <si>
    <t>O conjunto de dados cumpre os requisitos de processamento por máquina, evidenciado pela sua disponibilização em formatos estruturados e por meio de uma API. A existência de uma API, em particular, indica que os dados foram preparados para consumo automatizado, o que se alinha ao critério fundamental da dimensão. A acessibilidade integral dos dados por estes meios justifica a atribuição do Nível 5, que pressupõe o cumprimento de 100% do padrão.</t>
  </si>
  <si>
    <r>
      <t xml:space="preserve">O conjunto de dados é acessível publicamente por meio da web, não requerendo identificação, cadastro ou autenticação para o acesso. Adicionalmente, a disponibilização ocorre por meio de uma API, conforme verificado no endereço eletrônico fornecido, método que viabilizou o </t>
    </r>
    <r>
      <rPr>
        <i/>
        <sz val="10"/>
        <color theme="1"/>
        <rFont val="Times New Roman"/>
        <family val="1"/>
      </rPr>
      <t>download</t>
    </r>
    <r>
      <rPr>
        <sz val="10"/>
        <color theme="1"/>
        <rFont val="Times New Roman"/>
        <family val="1"/>
      </rPr>
      <t xml:space="preserve"> dos arquivos.
A evidência observada fundamenta a atribuição do Nível 5 a esta dimensão. Tal classificação se justifica pelo cumprimento integral (100%) do critério de acessibilidade, que preconiza a disponibilidade dos dados via web sem barreiras de acesso. A existência de uma API funcional, que permite o acesso programático e automatizado, corrobora o atendimento pleno aos requisitos para a pontuação máxima.</t>
    </r>
  </si>
  <si>
    <t>A análise da dimensão D23 identificou a existência de canais formais para o reporte de inconsistências nos dados. A instituição responsável disponibiliza um endereço de e-mail (dadosabertos@ifmg.edu.br) para essa finalidade. Adicionalmente, a plataforma do Portal Brasileiro de Dados Abertos, onde o conjunto de dados está catalogado, oferece mecanismos intrínsecos de feedback, como uma escala de satisfação e funcionalidades de discussão, que permitem aos usuários registrar avaliações e apontar problemas.
A disponibilização desses canais atende ao critério fundamental da dimensão, conforme descrito na métrica DGABr. Contudo, a consulta aos registros públicos do portal não revelou a existência de avaliações negativas ou discussões que indicassem problemas, o que impede a verificação do processo de correção em prática. A ausência de evidências sobre um ciclo de manutenção documentado e ativo , como o tratamento de solicitações e a efetivação de correções,  constitui uma lacuna informacional. A atribuição de um nível de cumprimento parcial seria justificada pela existência dos canais, enquanto níveis superiores (4 ou 5) demandariam a comprovação de um processo de manutenção sistematicamente executado, sendo assim atribui-se o Nível 3.</t>
  </si>
  <si>
    <t>A avaliação da dimensão D28 (Informações sobre o reúso de DGA) é dependente da identificação prévia de aplicações que utilizem o conjunto de dados, conforme estipulado na dimensão D25. A consulta aos mecanismos formais de registro, como o Portal Brasileiro de Dados Abertos, não identificou produtos, serviços ou aplicações que façam uso do referido conjunto de dados. A ausência de um caso de reúso documentado impede a verificação do critério central da D28, que consiste em analisar se os produtos gerados informam adequadamente sobre as fontes de DGA utilizadas.
Dessa forma, atribui-se o Nível 0 a esta dimensão, uma vez que o objeto de sua análise , um produto derivado do reúso dos dados, não foi localizado. Cabe registrar que esta classificação reflete a ausência de evidência formal de reúso, não sendo possível aferir, por meio deste método, a existência de utilizações não catalogadas.</t>
  </si>
  <si>
    <t>A verificação não identificou aplicações, produtos ou serviços que reutilizem o conjunto de dados em análise. A busca por evidências, incluindo a consulta ao registro de reúso no Portal Brasileiro de Dados Abertos, não localizou qualquer produto derivado que permitisse a avaliação dos critérios desta dimensão.
A dimensão D28 avalia se as aplicações que reutilizam os DGA informam adequadamente sobre as fontes de dados utilizadas. Dada a ausência de um objeto de análise, a verificação deste critério torna-se inviável. Consequentemente, atribui-se o Nível 0, pois a condição precedente para a avaliação, a existência de ao menos uma aplicação que reutilize o conjunto de dados, não foi satisfeita, conforme a definição da métrica.</t>
  </si>
  <si>
    <t>Atribui-se o Nível 2 a esta dimensão, em conformidade com a definição da métrica DGABr. A justificativa fundamenta-se na evidência de que o conjunto de dados específico em avaliação não foi identificado no PDA da instituição. A ausência do referido conjunto no planejamento formal do órgão representa um descumprimento do cronograma de publicação estabelecido, uma vez que a publicação ocorreu à margem das estratégias e metas documentadas.
Esta classificação alinha-se ao critério da métrica para o Nível 2, que se aplica a cenários onde uma norma ou recomendação neste caso, o PDA existe, mas a execução não segue o que foi definido. A publicação de um conjunto de dados não previsto no plano de ação caracteriza uma falha no cumprimento das estratégias e do cronograma de abertura, que são os focos de avaliação da dimensão D22.</t>
  </si>
  <si>
    <t>Observa-se que o conjunto de dados utiliza a designação "Outro (Aberta)" no campo de licença. Esta classificação é genérica e não corresponde a um modelo de licenciamento padronizado e reconhecido para dados abertos, como as licenças Creative Commons (CC) ou a Open Data Commons Open Database License (ODbL), que são referenciadas pela métrica. A ausência de um instrumento legal específico impede a definição inequívoca dos termos de uso, modificação e redistribuição, não assegurando a conformidade com os princípios de licenciamento que garantem o reúso com restrições mínimas ou nulas.
Diante da evidência, atribui-se o Nível 2 a esta dimensão. A justificativa fundamenta-se no critério da métrica DGABr, segundo o qual este nível se aplica quando uma recomendação existe, neste caso, o uso de licenças abertas padrão, mas a publicação dos dados não segue o que foi definido. A utilização de uma licença não especificada, ainda que nomeada como "aberta", representa uma falha na execução da prática recomendada, comprometendo a segurança jurídica necessária para o reúso efetivo dos dados.</t>
  </si>
  <si>
    <t>A avaliação da dimensão D28 (Informações sobre o reúso) é intrinsecamente dependente da prévia identificação de produtos ou serviços que utilizem o conjunto de dados em análise, conforme estipulado pela dimensão D25. Uma consulta aos mecanismos de registro de reúso, como o Portal Brasileiro de Dados Abertos, não evidenciou a existência de aplicações, produtos ou serviços derivados do referido conjunto de dados. Diante da ausência do objeto de análise, um produto derivado do reúso dos dados, torna-se inviável verificar se este informa adequadamente a fonte dos DGA utilizados. Por conseguinte, atribui-se o Nível 0, em conformidade com a definição da métrica DGABr para situações em que o item avaliado não se aplica ou não existe.</t>
  </si>
  <si>
    <t>A análise da dimensão D22 identificou que o conjunto de dados avaliado não consta no PDA da instituição. Embora a organização possua um cronograma formal para a publicação de DGA, a ausência deste conjunto de dados específico no documento de planejamento evidencia uma desconformidade entre a estratégia documentada e a prática de publicação. A publicação de um conjunto de dados não previsto no PDA impede a verificação de conformidade com as metas e prazos estabelecidos.
Com base nesta evidência, atribui-se o Nível 2. A justificativa para este nível, conforme a métrica DGABr, aplica-se quando a instituição possui uma norma ou recomendação definida, neste caso, o PDA e seu cronograma, mas a publicação dos DGA não segue o que foi estabelecido. A não inclusão do conjunto de dados no plano caracteriza um descumprimento da estratégia de abertura documentada.</t>
  </si>
  <si>
    <t>O conjunto de dados analisado, embora gerado pela unidade institucionalmente responsável (Diretoria de Processos Seletivos), é disponibilizado em formato agregado. Esta característica contraria o critério fundamental da dimensão D2, que, conforme a métrica DGABr, avalia se os dados são brutos, ou seja, coletados na fonte e mantidos com o máximo nível de granularidade, sem modificações ou sumarizações. A ausência de dados desagregados impede que o conjunto seja classificado como primário.
Diante da não conformidade com o requisito de granularidade, atribui-se o Nível 0 a esta dimensão. A justificativa se fundamenta na constatação de que a agregação, por si só, descaracteriza o dado como primário, independentemente de sua origem ou da ausência de tratamento interpretativo. Não foram apresentadas evidências que descrevam a metodologia de agregação utilizada, o que reforça a avaliação.</t>
  </si>
  <si>
    <t>O PDA da instituição estabelece uma frequência de atualização semestral para o conjunto de dados "Candidatos e Vagas nos Processos Seletivos de Cursos Técnicos". A verificação do referido conjunto evidencia a publicação dos dados referentes ao primeiro e segundo semestres de 2024. Contudo, no momento da avaliação, não foi identificada a publicação dos dados correspondentes ao primeiro semestre de 2025, que seria o próximo ciclo previsto no cronograma.
Considerando o universo de três ciclos de atualização esperados até a data da análise (2024/1, 2024/2 e 2025/1), o cumprimento observado é de dois ciclos, o que corresponde a aproximadamente 67% da meta. Este percentual alinha-se aos critérios da métrica DGABr para o Nível 3, que exige o cumprimento de, no mínimo, 50% dos padrões definidos e é considerado o patamar mínimo para que os DGA possuam potencial de reúso.</t>
  </si>
  <si>
    <t>A análise do conjunto de dados constatou a ausência de um metadado que declare formalmente o vocabulário controlado utilizado. Em função dessa lacuna, a verificação foi realizada por meio da inspeção das palavras-chave atribuídas ao recurso. Observou-se que os termos empregados , "educação", "educação básica" e "educação profissionalizante" , são componentes do VCGE).
A utilização de termos alinhados ao padrão nacional evidencia uma aderência aos requisitos da dimensão D18 o que leva ao Nível 5.</t>
  </si>
  <si>
    <t>Com base na análise do PDA e do conjunto de dados referenciado, observa-se uma divergência entre a periodicidade de atualização definida e a prática de publicação. O PDA institucional estabelece um cronograma que previa a atualização dos dados em 2023. Contudo, a verificação do conjunto de dados indica que tal atualização não foi executada conforme o planejado, com os registros mais recentes datando de 2024, o que evidencia uma defasagem em relação à meta estabelecida.
A atribuição do Nível 2 para a dimensão D3 (Dados atualizados) fundamenta-se diretamente nos critérios da métrica DGABr. A existência de uma norma formal , o cronograma de atualização no PDA , que não é cumprida na prática caracteriza esta condição. A situação descrita corresponde à definição do Nível 2, no qual a instituição possui uma recomendação definida, mas a publicação dos dados não segue os prazos e compromissos firmados.</t>
  </si>
  <si>
    <t>A verificação dos conjuntos de dados indica sua catalogação tanto no portal institucional (`dadosabertos.ifmg.edu.br`) quanto no Portal Brasileiro de Dados Abertos (`dados.gov.br`). Conforme os critérios da métrica DGABr para a dimensão D20, a presença no portal nacional constitui o requisito avaliativo, independentemente da existência de catálogos próprios. O cumprimento integral deste critério , a efetiva catalogação no Portal Brasileiro de Dados Abertos , fundamenta a atribuição do Nível 5, que corresponde a 100% de conformidade com o padrão definido.</t>
  </si>
  <si>
    <t>A avaliação da dimensão D25, que na DGABr 2.0 foi reformulada de "Quantidade de aplicativos desenvolvidos" para "Quantidade de aplicações desenvolvidas", fundamentou-se na consulta à funcionalidade de registro de reúso do Portal Brasileiro de Dados Abertos (dados.gov.br). A verificação não identificou o desenvolvimento de aplicações , conceito que abrange aplicativos, produtos, serviços ou outros sistemas , que utilizem o conjunto de dados em análise.
Diante da ausência de evidências de reúso, atribui-se o Nível 0 a esta dimensão. A classificação é consistente com a estrutura da métrica, que designa o nível mais baixo para situações em que o item avaliado não se materializa, indicando que não foram encontrados produtos ou serviços derivados da publicação dos dados.</t>
  </si>
  <si>
    <t>A avaliação da dimensão D28 (Informações sobre o reúso de DGA) resultou em Nível 0, justificado pela ausência de produtos ou serviços identificados que reutilizem o conjunto de dados em análise. Conforme a definição da métrica DGABr, esta dimensão avalia se as aplicações que consomem os dados informam aos seus usuários sobre as fontes de DGA utilizadas e a frequência de sua atualização. A inexistência de instâncias de reúso, verificada no Portal Brasileiro de Dados Abertos, impede a análise deste critério, caracterizando a condição como "Inexistente".
Dessa forma, a atribuição do Nível 0 está alinhada à estrutura da métrica, uma vez que a pré-condição para a avaliação , a existência de uma aplicação que reutilize os dados , não foi atendida. A ausência de evidências de reúso torna, por consequência, inviável a verificação dos requisitos de transparência sobre as fontes de dados, que constituem o foco desta dimensão.</t>
  </si>
  <si>
    <t>A análise do conjunto de dados indica a não utilização de um vocabulário controlado para a indexação dos recursos. As palavras-chave empregadas na catalogação , "convênios parcerias acordos" , não foram localizadas no VCGE), que serve como padrão de referência para esta dimensão. A ausência de um vocabulário formalmente definido e aplicado para a indexação do conjunto de dados fundamenta a atribuição do Nível 0, em conformidade com os critérios da métrica DGABr, que estipulam este nível para situações em que não há definição para o item avaliado.</t>
  </si>
  <si>
    <t>O PDA da instituição estabelece a dimensão geográfica de sua atuação, definindo uma abrangência estadual com detalhamento em nível municipal. No entanto, a inspeção do conjunto de dados em análise evidencia que a informação é apresentada de forma agregada para toda a instituição, sem a desagregação por campus ou município, conforme estipulado no plano.
Esta divergência entre a especificação documental e a execução na publicação dos dados fundamenta a atribuição do Nível 2. Conforme a metodologia da métrica DGABr, este nível é aplicado quando existe uma norma ou recomendação definida , neste caso, a cobertura geográfica detalhada no PDA ,, mas a publicação do conjunto de dados não a implementa.</t>
  </si>
  <si>
    <t>Com base na análise do PDA para o biênio 2023/08-2025/08, constata-se a existência de um cronograma para a publicação de conjuntos de dados. Contudo, o documento não apresenta uma estratégia formalizada ou critérios explícitos para a priorização da abertura, como a definição de áreas temáticas de maior relevância ou a consideração de dados demandados por meio do e-SIC, elementos previstos pela dimensão D21.
A ausência de uma metodologia de priorização documentada fundamenta a atribuição do Nível 1. Embora exista um plano de ação com prazos definidos, a definição do critério específico avaliado por esta dimensão , a estratégia de priorização , encontra-se ausente, caracterizando um estágio inicial de desenvolvimento da governança de dados abertos na instituição.</t>
  </si>
  <si>
    <t>A análise do conjunto de dados indica a ausência de um metadado específico que declare formalmente o vocabulário controlado utilizado. Em função dessa lacuna, a avaliação da conformidade com a dimensão D18 foi realizada por meio da verificação das palavras-chave associadas ao conjunto. Constatou-se que os termos empregados , "educação", "educação básica" e "educação profissionalizante" , são componentes do VCGE, o que evidencia uma aderência de conteúdo ao padrão técnico recomendado.
Apesar do alinhamento terminológico, a falta da declaração explícita nos metadados representa uma execução incompleta da prática, impactando a interoperabilidade semântica de forma automatizada. Conforme a estrutura da métrica DGABr, que avalia a publicação e não apenas o conteúdo, tal cenário caracteriza um cumprimento parcial. Desta forma, atribui-se o Nível 3, considerado o patamar mínimo para que os dados sejam considerados para reúso.</t>
  </si>
  <si>
    <t>A verificação realizada no Portal Brasileiro de Dados Abertos não identificou registros de reúso ou aplicações desenvolvidas que utilizem o conjunto de dados em análise. A mensuração desta dimensão, conforme a metodologia da DGABr 2.0, é dependente da prévia identificação de ao menos uma aplicação na dimensão D25 ("Quantidade de aplicações desenvolvidas"). A ausência de tal aplicação torna, por consequência, inaplicável a quantificação de conjuntos de dados utilizados.
Desta forma, atribui-se o Nível 0. A justificativa para esta classificação alinha-se à definição da métrica, que estipula o Nível 0 para situações em que não há publicação ou definição para o item avaliado. Visto que a premissa para a contagem , a existência de uma aplicação que reutilize os dados , não foi satisfeita, a dimensão é considerada inexistente para este conjunto de dados.</t>
  </si>
  <si>
    <t>A verificação de instâncias de reúso não identificou produtos, serviços ou aplicações desenvolvidos a partir do conjunto de dados analisado. A dimensão D28, "Informações sobre o reúso de DGA", avalia se os produtos que reutilizam os dados informam aos seus usuários a fonte e a frequência de atualização das informações originais. Visto que a pré-condição para esta avaliação , a existência de ao menos uma aplicação que reutilize os dados (conforme D25) , não foi atendida, a mensuração dos critérios de D28 torna-se inviável.
Em conformidade com a estrutura da métrica DGABr, que define o Nível 0 para situações em que o item avaliado não existe ou suas condições de avaliação não são cumpridas, atribui-se este nível à dimensão. A ausência de evidências de reúso impede a análise sobre a qualidade da informação fornecida em produtos derivados, resultando na pontuação mínima.</t>
  </si>
  <si>
    <t>O conjunto de dados “Cursos de Graduação Ofertados” reúne informações referentes ao ano de 2024 e está alinhado à frequência anual de atualização definida no PDA do IFMG. Essa conformidade indica que o órgão cumpriu o cronograma previsto para o período.
A atribuição do nível 5 para a dimensão D1 (Dados completos) baseia-se na observação de que o escopo correspondente ao ano de 2024 foi integralmente disponibilizado. Os campos apresentados , campus, nome do curso, modalidade do curso, turno de oferta, modalidade de oferta e vagas ofertadas , compõem informações suficientes para caracterizar o conjunto como completo, o que justifica o nível alcançado.</t>
  </si>
  <si>
    <t>A consulta ao registro de reúso no Portal Brasileiro de Dados Abertos não identificou aplicações que utilizem o conjunto de dados em análise. Conforme a métrica DGABr 2.0, a dimensão D25 foi reformulada para avaliar a quantidade de "aplicações" , termo que abrange aplicativos, produtos e serviços , desenvolvidas a partir dos dados. A ausência de registros que evidenciem tal reúso fundamenta a atribuição do Nível 0, que, segundo a métrica, se aplica quando não há definição ou execução do item avaliado.
Cabe registrar que a avaliação se baseia na evidência disponível no portal oficial, que constitui o principal mecanismo de aferição para esta dimensão. A metodologia, portanto, não permite descartar a possível existência de aplicações não catalogadas na referida plataforma, configurando uma limitação inerente à fonte de verificação.</t>
  </si>
  <si>
    <t>A consulta à funcionalidade de registro de reúso no Portal Brasileiro de Dados Abertos não indicou a existência de aplicações , conceito que, na DGABr 2.0, abrange aplicativos, produtos ou serviços , que utilizem o conjunto de dados em análise. A ausência de evidências de reúso, conforme o mecanismo de verificação previsto pela métrica, fundamenta a atribuição do Nível 0 para esta dimensão.
A avaliação se restringe à evidência verificável na plataforma oficial, que constitui a fonte primária para a mensuração das dimensões D25 e D26 na versão 2.0 da métrica. A possível existência de aplicações não catalogadas no portal representa uma lacuna informacional que impede a atribuição de um nível superior, uma vez que não há dados comprobatórios para tal.</t>
  </si>
  <si>
    <t>A análise do conjunto de dados evidencia que sua disponibilização ocorre em formato XLSX. Este padrão não integra a lista de formatos recomendados para a publicação de DGA, conforme estabelecido por instrumentos como o ePING e a cartilha técnica da Política de Dados Abertos. A ausência de alternativas em formatos abertos e estruturados, como CSV, JSON ou ODS, representa um não cumprimento integral do critério avaliado na dimensão D15.
Com base nesta constatação, atribui-se o Nível 0. A justificativa para esta classificação reside no fato de que o requisito avaliado , a publicação em um dos formatos de dados preconizados pela métrica , não foi atendido, caracterizando a inexistência do item conforme a estrutura de avaliação da DGABr.</t>
  </si>
  <si>
    <t>Com base na análise dos documentos de referência, a dimensão em questão corresponde à D26 ("Quantidade de conjuntos de dados utilizados") da métrica DGABr 2.0, que foi reformulada para avaliar quantos conjuntos de dados de uma instituição são empregados em uma aplicação identificada na dimensão D25. A avaliação desta dimensão é, portanto, dependente da existência prévia de ao menos uma aplicação que reutilize os dados do órgão.
A verificação no Portal Brasileiro de Dados Abertos não identificou registros de reúso ou aplicações desenvolvidas que utilizem o conjunto de dados em análise. Diante da ausência de uma aplicação de referência, a contagem de conjuntos de dados utilizados torna-se inviável. Por conseguinte, atribui-se o Nível 0, uma vez que o critério fundamental para a avaliação da dimensão , a existência de uma aplicação que reutilize os dados , não foi atendido. A falta de evidências de reúso no portal oficial constitui a base para esta classificação.</t>
  </si>
  <si>
    <t>A verificação na funcionalidade de registro de reúso do Portal Brasileiro de Dados Abertos não identificou aplicações , conceito que, na DGABr 2.0, abrange produtos, serviços ou sistemas , que utilizem o conjunto de dados em análise. A ausência de evidências de reutilização efetiva, conforme o critério estabelecido para a dimensão D25, fundamenta a atribuição do Nível 0. A pontuação em níveis superiores nesta dimensão está condicionada à identificação de ao menos uma aplicação que comprovadamente utilize os dados publicados.</t>
  </si>
  <si>
    <t>Não se identificou, por meio da consulta ao Portal Brasileiro de Dados Abertos ou outras fontes, a existência de produtos, serviços ou aplicações que reutilizem o conjunto de dados analisado. A dimensão D28 avalia se os produtos gerados a partir dos DGA informam explicitamente sobre as fontes de dados utilizadas e sua frequência de atualização. A ausência de evidências de reúso impede, por conseguinte, a verificação dos critérios estabelecidos para esta dimensão.
Dessa forma, atribui-se o Nível 0, em conformidade com a estrutura da métrica DGABr, que designa este nível para situações em que o item avaliado não é encontrado ou aplicável. A justificativa fundamenta-se na falta de um objeto de análise , o produto derivado dos dados , para a avaliação da transparência de suas fontes.</t>
  </si>
  <si>
    <t>Verifica-se a ausência de um metadado que declare formalmente o uso de um vocabulário controlado para o conjunto de dados. Em decorrência dessa lacuna, a análise foi direcionada às palavras-chave publicadas, onde se constatou que os termos utilizados , "educação", "educação profissionalizante" e "educação superior" , são consistentes com o vocabulário definido pelo VCGE.
Atribui-se o Nível 4 a esta dimensão. A justificativa baseia-se na evidência de que o vocabulário empregado nas palavras-chave demonstra alinhamento superior a 80% com um padrão de referência. A ausência da formalização do vocabulário nos metadados, uma prática recomendada para interoperabilidade semântica, impede a atribuição do nível máximo, que pressupõe o cumprimento integral dos padrões técnicos.</t>
  </si>
  <si>
    <t>A análise do PDA (2023/08-2025/08) evidencia a existência de um cronograma para a publicação de conjuntos de dados. Contudo, não foram identificados no documento critérios explícitos que fundamentem a priorização da abertura, como a demanda registrada por meio do e-SIC ou a relevância estratégica das áreas temáticas. A ausência de uma metodologia de priorização formalizada indica que a seleção dos dados a serem abertos não segue uma estratégia documentada, conforme preconiza a dimensão D21.
Diante do exposto, atribui-se o Nível 1 ("Em construção"), uma vez que, embora exista um plano de ação (o cronograma), a definição de um componente central da dimensão , a estratégia de priorização , não se encontra estabelecida. A métrica DGABr classifica tal cenário como uma etapa inicial, na qual a estrutura de governança para a abertura de dados ainda está em desenvolvimento.</t>
  </si>
  <si>
    <t>A avaliação da dimensão D28, referente à disponibilização de informações sobre o reúso nos produtos gerados, é condicionada à existência de aplicações que utilizem o conjunto de dados em análise. A verificação realizada no Portal Brasileiro de Dados Abertos, conforme a metodologia de evidência para a perspectiva de Reúso, não identificou registros de produtos, serviços ou outras aplicações que reutilizassem os DGA do PRONATEC.
Em decorrência da ausência de instâncias de reúso, a análise do critério , verificar se os produtos informam sobre a fonte e a frequência de atualização dos dados , é inaplicável. Desta forma, atribui-se o Nível 0, uma vez que a condição fundamental para a avaliação da dimensão não foi satisfeita, em alinhamento com a definição da métrica para itens não encontrados ou não aplicáveis.</t>
  </si>
  <si>
    <t>O conjunto de dados é disponibilizado em formatos estruturados (JSON e CSV), o que satisfaz o critério fundamental de ser processável por máquina. A análise dos arquivos confirma que os dados seguem uma estrutura lógica e consistente, permitindo o processamento automatizado por aplicações computacionais.
Adicionalmente, a avaliação conforme a métrica DGABr 2.0 para a dimensão D5 exige a verificação de aderência a especificações técnicas do ePING. A estrutura e os formatos utilizados demonstram conformidade com os padrões de interoperabilidade estabelecidos. O cumprimento integral de ambos os critérios , disponibilização em formato estruturado e alinhamento aos padrões técnicos governamentais , fundamenta a atribuição do Nível 5 para esta dimensão.</t>
  </si>
  <si>
    <t>Com base na análise do PDA referenciado, constata-se a presença de um cronograma de publicação. No entanto, não foram identificados no documento critérios formais para a priorização da abertura de dados, tais como a demanda registrada por meio do e-SIC ou a relevância temática das informações, elementos centrais para a dimensão D21. A ausência de uma metodologia explícita para a seleção dos conjuntos de dados indica que o planejamento se encontra incompleto no que tange a este aspecto.
Dessa forma, a avaliação resulta no Nível 1. A justificativa para esta classificação reside no fato de que, embora exista um instrumento de planejamento (o PDA com seu cronograma), a definição específica do item avaliado , a estratégia de priorização , não está formalizada, caracterizando um estágio incipiente ou não executado da dimensão.</t>
  </si>
  <si>
    <t>A verificação no registro de reúso do Portal Brasileiro de Dados Abertos não identificou aplicações desenvolvidas que utilizem o referido conjunto de dados. De acordo com a estrutura da métrica DGABr 2.0, a ausência de evidências de reúso fundamenta a atribuição do Nível 0 para esta dimensão. A dimensão D25 foi reformulada na versão 2.0 para abranger um conceito mais amplo de "aplicações" , incluindo produtos, serviços e sistemas , e utilizar o registro do portal como fonte primária de evidência, o que confere maior objetividade à avaliação.</t>
  </si>
  <si>
    <t>A análise do PDA do órgão evidencia a existência de um cronograma para a publicação de DGA. Contudo, constata-se uma desconformidade entre o planejamento e a execução, uma vez que o conjunto de dados em avaliação não está inventariado no referido plano, e o cronograma de publicação estabelecido no documento não é cumprido.
Diante do exposto, atribui-se o Nível 2 a esta dimensão. A justificativa baseia-se no critério da métrica DGABr, segundo o qual este nível é aplicado quando a instituição possui uma norma ou recomendação definida , neste caso, o PDA e seu cronograma , mas a publicação dos DGA não segue o que foi estabelecido. A ausência do conjunto de dados no inventário do PDA e o descumprimento do cronograma configuram evidências diretas de não execução do planejamento.</t>
  </si>
  <si>
    <t>Verifica-se a ausência de um metadado que declare formalmente a adoção de um vocabulário controlado para o conjunto de dados. Em decorrência dessa lacuna, a análise procedeu à inspeção das palavras-chave associadas, onde se constatou que os termos utilizados , "educação", "educação básica", "educação profissionalizante" e "educação superior" , correspondem a entradas existentes no VCGE).
Atribui-se o Nível 4, pois a conformidade é observada apenas de forma indireta e restrita às palavras-chave. A falta de uma declaração explícita no metadado e a ausência de evidências sobre a aplicação de termos do VCGE nos campos e valores do próprio conjunto de dados impedem a atribuição de um nível superior, que exigiria uma implementação sistêmica e documentada.</t>
  </si>
  <si>
    <t>A consulta à funcionalidade de registro de reúso no Portal Brasileiro de Dados Abertos não identificou aplicações , categoria que, na DGABr 2.0, abrange produtos, serviços ou sistemas , que utilizem o conjunto de dados em análise. A verificação desta fonte de evidência é o procedimento metodológico estabelecido pela métrica para a dimensão D25 (Quantidade de aplicações desenvolvidas).
A ausência de registros de reúso fundamenta a atribuição do Nível 0 para esta dimensão. A classificação decorre diretamente dos critérios da métrica, que estabelecem este nível para a não ocorrência do fenômeno avaliado. A escala de pontuação para D25 inicia-se no Nível 2, condicionado à identificação de ao menos uma aplicação, critério que não foi atendido com base na evidência coletada.</t>
  </si>
  <si>
    <t>Não foram identificados registros de reúso ou aplicações desenvolvidas que utilizem o conjunto de dados em análise, conforme verificação realizada no Portal Brasileiro de Dados Abertos. A dimensão D26, em sua formulação na DGABr 2.0, mensura a "Quantidade de conjuntos de dados utilizados" em uma aplicação previamente identificada na dimensão D25. Visto que o pressuposto para a avaliação , a existência de ao menos uma aplicação que reutilize os dados da instituição , não foi atendido, a contagem de conjuntos de dados utilizados torna-se inaplicável.
Dessa forma, atribui-se o Nível 0 a esta dimensão. A justificativa técnica reside na ausência de evidências que permitam iniciar a mensuração, alinhando-se à definição do Nível 0, que se aplica quando não há definição ou publicação do item avaliado. A ausência de registros no portal oficial constitui a evidência para a atribuição do nível, embora não descarte a possibilidade de reúso não documentado.</t>
  </si>
  <si>
    <t>A análise do conjunto de dados "Quantitativo de Estudantes com Necessidades Educacionais Específicas Atendidos pelos NAPNEEs" evidencia que este não consta no PDA mais recente. A dimensão D3 (Dados atualizados) da métrica DGABr avalia a conformidade da publicação com a frequência de atualização previamente estabelecida, a qual é tipicamente definida no PDA. A ausência do referido conjunto de dados no plano implica a inexistência de um compromisso formal de periodicidade para sua atualização, o que inviabiliza a verificação do cumprimento deste critério.
Consequentemente, atribui-se o Nível 0 a esta dimensão. A justificativa para esta classificação alinha-se à definição da métrica, que aplica o Nível 0 quando a instituição "não tem definição para o item avaliado". Neste caso, o item avaliado , a frequência de atualização , não está definido para o conjunto de dados em questão, configurando uma lacuna que impede a avaliação de conformidade para os níveis superiores.</t>
  </si>
  <si>
    <t>A verificação realizada no Portal Brasileiro de Dados Abertos, conforme a documentação de evidência, não identificou o registro de aplicações que utilizem o conjunto de dados em análise. A dimensão D26, em sua formulação na DGABr 2.0, mensura a quantidade de conjuntos de dados distintos de uma instituição que são empregados em uma aplicação identificada na dimensão D25. Visto que não foram encontradas aplicações, o pressuposto para a avaliação desta dimensão não foi atendido.
Dessa forma, atribui-se o Nível 0, pois a ausência de um objeto de análise , uma aplicação registrada , impede a quantificação de conjuntos de dados utilizados. A ausência de registros de reúso no portal constitui uma lacuna de evidência que impossibilita a atribuição de níveis superiores (2 a 5), os quais são estritamente dependentes da identificação prévia de ao menos uma aplicação.</t>
  </si>
  <si>
    <t>Constata-se que o conjunto de dados é disponibilizado nos formatos CSV e JSON, com acesso adicional provido por meio de uma API. Esta prática está em conformidade com os critérios da dimensão D15 (Formato dos dados), que avalia o uso de formatos estruturados, não proprietários e processáveis por máquina, conforme recomendado pelos padrões de interoperabilidade brasileiros.
A atribuição de um nível específico de cumprimento , 3, 4 ou 5 , depende, contudo, da verificação quantitativa da abrangência dessa conformidade sobre o total de recursos disponibilizados. A evidência apresentada, embora positiva, não especifica a proporção de arquivos que adere aos formatos recomendados, o que constitui uma lacuna informacional para a validação precisa do nível atribuído segundo os patamares de 50%, 80% ou 100% definidos pela métrica.</t>
  </si>
  <si>
    <t>A verificação no registro de reúso do Portal Brasileiro de Dados Abertos não identificou produtos, serviços ou outras aplicações que utilizem o conjunto de dados em análise. A ausência de evidências de reúso impede a avaliação dos critérios subsequentes desta perspectiva, que dependem da existência de tais produtos.
A dimensão D28 avalia especificamente se as aplicações que reutilizam os DGA informam aos seus usuários sobre as fontes de dados e a frequência de atualização. Uma vez que a precondição para esta análise , a existência de ao menos uma aplicação , não foi satisfeita, o critério é considerado inaplicável. Em conformidade com a estrutura da métrica, que define o Nível 0 como "Inexistente" para situações em que o item avaliado não é encontrado, atribui-se o referido nível a esta dimensão.</t>
  </si>
  <si>
    <t xml:space="preserve">O conjunto de dados "Portarias publicadas pela reitoria do IFMG 2023" apresenta informações referentes ao ano de 2023. A análise ao conjunto de dados evidencia que este não consta no PDA. A dimensão D3 (Dados atualizados) da métrica DGABr avalia a conformidade da publicação com a frequência de atualização previamente estabelecida, a qual é tipicamente definida no PDA. A ausência do referido conjunto de dados no plano implica a inexistência de um compromisso formal de periodicidade para sua atualização, o que inviabiliza a verificação do cumprimento deste critério.
Consequentemente, atribui-se o Nível 0 a esta dimensão. A justificativa para esta classificação alinha-se à definição da métrica, que aplica o Nível 0 quando a instituição "não tem definição para o item avaliado". Neste caso, o item avaliado , a frequência de atualização , não está definido para o conjunto de dados em questão, configurando uma lacuna que impede a avaliação de conformidade para os níveis superiores.. </t>
  </si>
  <si>
    <t>O conjunto de dados “Candidatos e Vagas nos Processos Seletivos de Cursos Técnicos” apresenta informações referentes ao ano de 2024, abrangendo o primeiro e o segundo semestres. A avaliação da completude, conforme a métrica DGABr, incide sobre a abrangência do escopo publicado em relação ao que foi definido no PDA. A ausência de dados de períodos subsequentes, embora a frequência de atualização definida seja semestral, constitui uma evidência primária para a avaliação da dimensão D3 (Dados atualizados). De forma análoga, a publicação de quantitativos consolidados, em vez de dados brutos, afeta diretamente a dimensão D2 (Dados primários), que mensura a granularidade da informação.
Para a dimensão D1, a evidência indica a publicação de um subconjunto temporal (ano de 2024). A ausência de detalhamento granular também impede a verificação da completude em outras variáveis. Diante dessas limitações , tanto pela incompletude temporal quanto pela agregação das informações, o conjunto de dados não atende aos critérios mínimos de completude e atualidade, o nível da dimensão é 0, já que o órgão  somente publica os DGA sem  validar sua completude</t>
  </si>
  <si>
    <t>A análise do conjunto de dados revela uma inconsistência entre os formatos de arquivo declarados nos metadados e o recurso efetivamente disponibilizado. Embora o portal de dados e a API informem a existência de arquivos nos formatos não proprietários CSV e JSON, a verificação empírica demonstrou que todos os links de acesso direcionam para um único arquivo no formato XLSX, que é classificado como proprietário.
Conforme a estrutura da métrica DGABr, a existência de uma recomendação ou padrão definido pela instituição que não é seguido na publicação dos dados caracteriza o Nível 2. Uma vez que a instituição declara a intenção de publicar em formatos abertos mas, na prática, disponibiliza apenas um formato proprietário, o cumprimento da dimensão é nulo. Desta forma, atribui-se o Nível 2 a esta dimensão, pois a norma estabelecida nos metadados não foi executada.</t>
  </si>
  <si>
    <r>
      <t xml:space="preserve">O conjunto de dados "Cursos de mestrado do IFMG" disponibiliza informações referentes exclusivamente ao ano de 2024. A dimensão D1 (Dados completos) da métrica DGABr avalia a completude do conjunto, com ênfase na disponibilização de séries históricas integrais. A evidência observada, que consiste em dados de um único ano, indica uma publicação parcial, uma vez que não abrange o ano de 2025. Embora o PDA do IFMG preveja uma frequência de atualização anual, o que se relaciona à dimensão D3 (Dados atualizados). Além disso os dados possuem somente dois campos: </t>
    </r>
    <r>
      <rPr>
        <i/>
        <sz val="10"/>
        <color theme="1"/>
        <rFont val="Times New Roman"/>
        <family val="1"/>
      </rPr>
      <t>Campus e Mestrado</t>
    </r>
    <r>
      <rPr>
        <sz val="10"/>
        <color theme="1"/>
        <rFont val="Times New Roman"/>
        <family val="1"/>
      </rPr>
      <t>, o que o caracteriza como imcompleto, outros dados poderiam estar presentes no conjunto de dados.</t>
    </r>
    <r>
      <rPr>
        <i/>
        <sz val="10"/>
        <color theme="1"/>
        <rFont val="Times New Roman"/>
        <family val="1"/>
      </rPr>
      <t xml:space="preserve">
</t>
    </r>
    <r>
      <rPr>
        <sz val="10"/>
        <color theme="1"/>
        <rFont val="Times New Roman"/>
        <family val="1"/>
      </rPr>
      <t>A métrica DGABr estabelece o Nível 1 para o cumprimento o caso em que o orgão somente publica os dados e não possui critérios para avaliar se os mesmos são completos.</t>
    </r>
  </si>
  <si>
    <t>Verifica-se que o conjunto de dados é disponibilizado em formato XLSX. Apesar de ser um formato estruturado, que permite um processamento básico por máquina, ele não atende às especificações técnicas do padrão ePing. Mesmo assim atribui-se o nível 5, pois, embora utilize um formato proprietário, o arquivo é estruturado e processável por máquina.</t>
  </si>
  <si>
    <t>Observa-se que o conjunto de dados é disponibilizado em formato XLSX. Este formato, de natureza proprietária, não se alinha aos padrões técnicos recomendados para a publicação de DGA no Brasil, conforme estipulado pela dimensão D15 da métrica DGABr. A avaliação desta dimensão fundamenta-se na adesão a formatos abertos e estruturados, preconizados por instrumentos como os Padrões de Interoperabilidade (ePing) e a Cartilha Técnica para Publicação de Dados Abertos, que listam alternativas como CSV, JSON e ODS.
A utilização de um formato não recomendado equivale à ausência de publicação em conformidade com o padrão exigido pela métrica. Diante da não conformidade, a publicação é considerada inexistente para o critério avaliado, o que justifica a atribuição do Nível 0. Esta classificação é consistente com a definição da DGABr, que aplica o Nível 0 quando a instituição não publica o item de acordo com a norma ou recomendação definida.</t>
  </si>
  <si>
    <t>Constata-se que o conjunto de dados foi publicado exclusivamente em formato XLSX. Conforme os critérios da Dimensão D15 (Formato dos dados), que se baseiam em padrões como o ePing, este formato não integra a lista de padrões abertos e não proprietários recomendados para a publicação de DGA. A atribuição do Nível 0 fundamenta-se na ausência completa da característica avaliada, uma vez que a métrica DGABr pressupõe a utilização de formatos como CSV, JSON ou ODS para o cumprimento, ainda que parcial, desta dimensão. A utilização exclusiva de um formato não recomendado equivale, para fins de avaliação, à inexistência de conformidade com o padrão técnico exigido.</t>
  </si>
  <si>
    <t>Constatou-se que o conjunto de dados é disponibilizado em formatos estruturados e processáveis por máquina, especificamente em CSV e por meio de uma API que retorna dados em JSON. A oferta de dados em tais formatos atende aos critérios da dimensão D5 da métrica DGABr 2.0, a qual, para os níveis de avaliação superiores (3 a 5), exige que os dados sigam especificações técnicas dos Padrões de Interoperabilidade do Governo Eletrônico (ePing). A conformidade dos formatos observados com as recomendações do ePing fundamenta a atribuição do Nível 5, indicando o cumprimento integral dos requisitos para esta dimensão.</t>
  </si>
  <si>
    <t>Constata-se que o conjunto de dados é disponibilizado em múltiplos formatos processáveis por máquina, especificamente CSV e JSON. Adicionalmente, o acesso aos dados é viabilizado por meio de uma API. A utilização de formatos recomendados pelos padrões de interoperabilidade brasileiros (ePing), somada à oferta de acesso via API, demonstra o cumprimento integral dos critérios estabelecidos para a dimensão D15. Dessa forma, atribui-se o Nível 5, que corresponde à conformidade de 100% com as diretrizes técnicas para a publicação de DGA.</t>
  </si>
  <si>
    <t>A análise do conjunto de dados evidencia sua disponibilização em formatos estruturados (JSON e CSV), o que viabiliza o processamento automatizado por máquina. Constatou-se, ademais, a conformidade de tais formatos com as especificações técnicas dos Padrões de Interoperabilidade do Governo Eletrônico (ePing), um requisito introduzido na métrica DGABr 2.0 para os níveis de avaliação superiores desta dimensão.
O alinhamento integral aos padrões técnicos recomendados, abrangendo 100% dos formatos disponibilizados, fundamenta a atribuição do Nível 5. Esta classificação corresponde ao cumprimento total dos critérios estabelecidos pela métrica para a dimensão D5, que associa os níveis mais elevados à adesão explícita às especificações do ePing.</t>
  </si>
  <si>
    <t>A análise do conjunto de dados evidencia que sua disponibilização ocorre em formato proprietário (XLSX). Tal formato não integra a lista de padrões recomendados para a publicação de DGA, conforme estabelecido pelos Padrões de Interoperabilidade do Governo Eletrônico (ePing) e por guias técnicos correlatos, que especificam formatos como CSV, JSON e ODS. A ausência de conformidade com as especificações técnicas resulta na atribuição do Nível 0 a esta dimensão, uma vez que o critério de utilização de formato recomendado não foi atendido.</t>
  </si>
  <si>
    <t>Constata-se que o conjunto de dados é disponibilizado em formatos estruturados (CSV e JSON), os quais são processáveis por máquina. A análise indica que os formatos adotados estão em conformidade com as especificações técnicas do ePing. Este achado atende integralmente aos critérios da dimensão D5 na métrica DGABr 2.0, que para os níveis avançados requer não apenas a estruturação dos dados, mas também a aderência a padrões de interoperabilidade governamentais. Dessa forma, atribui-se o Nível 5, correspondente ao cumprimento de 100% do padrão definido.</t>
  </si>
  <si>
    <t>Constata-se que o conjunto de dados é disponibilizado em formatos estruturados e não proprietários (CSV e JSON), além de ser acessível por meio de uma API. A oferta de dados nesses formatos e método de acesso atende integralmente aos padrões técnicos recomendados pela métrica DGABr, que se baseia em documentos como o ePing.
A disponibilização de 100% dos recursos do conjunto de dados em conformidade com as especificações da dimensão D15 justifica a atribuição do Nível 5. A evidência demonstra o cumprimento integral do critério, que prevê a utilização de formatos que garantem a interoperabilidade e o processamento automatizado.</t>
  </si>
  <si>
    <t>Constata-se que o conjunto de dados é disponibilizado nos formatos CSV e JSON, além de ser acessível por meio de uma API. A oferta desses formatos e do método de acesso atende integralmente aos parâmetros técnicos recomendados pela métrica DGABr, que se baseia em padrões como o ePing. A evidência demonstra conformidade total com os critérios da dimensão, justificando a atribuição do Nível 5, que corresponde ao cumprimento de 100% dos padrões definidos.</t>
  </si>
  <si>
    <t>A análise do conjunto de dados, realizada por meio de download dos arquivos e consulta à API, constatou a disponibilização dos recursos nos formatos estruturados JSON e CSV. Tais formatos são inerentemente processáveis por máquina e, conforme a observação registrada, encontram-se em conformidade com as especificações técnicas do ePing.
Com base nesta evidência, atribui-se o Nível 5. A justificativa alinha-se aos critérios da métrica DGABr 2.0, que para a dimensão D5 exige, nos níveis superiores, não apenas a estruturação dos dados, mas também a adesão a padrões de interoperabilidade. A disponibilização de 100% dos recursos em formatos que cumprem essa dupla exigência corresponde ao critério para a pontuação máxima.</t>
  </si>
  <si>
    <t>Constata-se que o conjunto de dados é disponibilizado em formatos estruturados (CSV e JSON), passíveis de processamento automatizado, e acessível tanto por download direto quanto via API. A atribuição do Nível 5 fundamenta-se no cumprimento dos critérios da dimensão D5, conforme a atualização da métrica DGABr 2.0. Esta versão da métrica estipula que os níveis superiores de avaliação exigem não apenas a estruturação dos dados, mas também a conformidade explícita com especificações técnicas dos Padrões de Interoperabilidade do Governo Eletrônico (ePing). A disponibilização nos formatos mencionados, aliada à observada conformidade com o ePing, evidencia o atendimento integral do requisito.</t>
  </si>
  <si>
    <t xml:space="preserve">A análise do conjunto de dados evidencia a utilização de formatos estruturados (CSV e JSON) para a disponibilização dos recursos. Tais formatos são preconizados pela métrica DGABr 2.0 e estão em conformidade com os padrões de interoperabilidade, como o ePing. A adoção integral desses formatos, que são processáveis por máquina e não proprietários, atende a 100% do requisito avaliado nesta dimensão. Com base nessa evidência, atribui-se o Nível 5, correspondente ao cumprimento integral do critério.
</t>
  </si>
  <si>
    <t>Observa-se que o conjunto de dados é disponibilizado em formatos estruturados (CSV e JSON), o que viabiliza seu processamento automatizado por máquina. A análise dos recursos, acessados via download direto e por meio da API, confirma que os dados atendem ao critério fundamental da dimensão D5, que avalia a capacidade de processamento maquínico.
A atribuição do Nível 5 fundamenta-se na conformidade integral com os requisitos da métrica DGABr 2.0. A versão atualizada desta dimensão estabelece que os níveis superiores de avaliação demandam não apenas a estruturação dos dados, mas também a aderência a especificações técnicas como as do ePing. A evidência de que os formatos utilizados estão em conformidade com tal padrão justifica a avaliação máxima, indicando o cumprimento de 100% dos critérios estabelecidos.</t>
  </si>
  <si>
    <t>Constata-se que o conjunto de dados é disponibilizado nos formatos CSV e JSON, além de ser acessível por meio de uma API. Tais formatos e o método de acesso estão em conformidade com as recomendações dos padrões técnicos brasileiros, como o ePing, que fundamentam esta dimensão na métrica DGABr.
O fornecimento de múltiplos formatos estruturados e processáveis por máquina, juntamente com o acesso via API, representa o cumprimento integral dos critérios estabelecidos para a dimensão. Diante da evidência de total aderência às recomendações, justifica-se a atribuição do Nível 5.</t>
  </si>
  <si>
    <t>A avaliação da dimensão foi realizada por meio da análise das palavras-chave associadas ao conjunto de dados, na ausência de um metadado específico para vocabulário controlado. Constatou-se que, das três palavras-chave informadas ("educação", "comunicação" e "divulgação"), apenas o termo "educação" integra o VCGE. 
A ausência de uma declaração formal do vocabulário e a falta de evidências sobre sua aplicação em outros campos do conjunto de dados impedem a atribuição de um nível superior. Desta forma, atribui-se o Nível 4, considerando o uso parcial do VCGE no metadado de palavras-chave, mas sem garantia de sua aplicação extensiva.</t>
  </si>
  <si>
    <t>Na ausência de um metadado específico para vocabulário controlado, procedeu-se à análise do campo de palavras-chave do conjunto de dados. Foram identificados cinco termos: "educação", "administração pública", "contratos", "fiscalização" e "gestão de pessoas". A verificação de conformidade com o VCGE) indicou que apenas o termo "educação" pertence ao padrão referenciado.
A ausência de uma declaração formal do vocabulário e a falta de evidências sobre sua aplicação em outros campos do conjunto de dados impedem a atribuição de um nível superior. Desta forma, atribui-se o Nível 4, considerando o uso parcial do VCGE no metadado de palavras-chave, mas sem garantia de sua aplicação extensiva.</t>
  </si>
  <si>
    <t>Constata-se que a fonte primária da informação, o sistema SEI, é indicada nos metadados do conjunto de dados. No entanto, a publicação dessa informação ocorre de forma parcial: ela está presente no catálogo de dados abertos da instituição (IFMG), mas ausente no registro correspondente no Portal Brasileiro de Dados Abertos. A disponibilização da informação em apenas um dos catálogos previstos caracteriza um cumprimento parcial do critério estabelecido pela dimensão D14.
Essa evidência fundamenta a atribuição do Nível 4, em conformidade com a estrutura da métrica DGABr. O referido nível é aplicado quando os padrões definidos são cumpridos em apenas um dos portais, situação observada na publicação inconsistente do metadado de fonte entre os diferentes portais de catalogação.</t>
  </si>
  <si>
    <t>A fonte da informação do conjunto de dados é indicada como a "Diretoria de Processos Seletivos de Estudantes" nos metadados disponíveis no portal de dados abertos do IFMG. Contudo, esta informação não consta nos metadados correspondentes no Portal Brasileiro de Dados Abertos.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</si>
  <si>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A fonte primária da informação, identificada como SUAP IFMG, está documentada nos metadados disponíveis no portal de dados abertos da própria instituição. Contudo, a mesma informação não foi replicada no registro do conjunto de dados no Portal Brasileiro de Dados Abertos, onde o campo correspondente não se encontra preenchido.
A atribuição do Nível 4 fundamenta-se no cumprimento parcial do critério: a identificação da fonte no catálogo local atende ao requisito principal da dimensão, mas a omissão no catálogo nacional, cuja utilização é preconizada pela dimensão D20, impede a conformidade integral (Nível 5).</t>
  </si>
  <si>
    <t>A fonte da informação do conjunto de dados, identificada como SUAP IFMG, consta nos metadados disponíveis no portal de dados abertos da própria instituição. Contudo, verifica-se que a mesma informação está ausente nos metadados correspondentes no Portal Brasileiro de Dados Abertos. A publicação da fonte em um dos catálogos, mas não no catálogo nacional , que é um ponto central de descoberta de DGA, configura uma execução parcial do requisito da dimensão D14.
A atribuição do Nível 4 fundamenta-se no cumprimento parcial do critério: a identificação da fonte no catálogo local atende ao requisito principal da dimensão, mas a omissão no catálogo nacional, cuja utilização é preconizada pela dimensão D20, impede a conformidade integral (Nível 5).</t>
  </si>
  <si>
    <t>Constata-se que a fonte da informação, identificada como "Diretoria de Processos Seletivos de Estudantes", está presente nos metadados publicados no portal de dados abertos da instituição. Entretanto, a mesma informação encontra-se ausente no registro correspondente no Portal Brasileiro de Dados Abertos, o que configura uma inconsistência na catalogação.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</si>
  <si>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Constata-se que a fonte da informação, identificada como a "Diretoria de Processos Seletivos de Estudantes", é declarada nos metadados disponíveis no portal de dados abertos do IFMG. Contudo, esta mesma informação está ausente no registro do conjunto de dados no Portal Brasileiro de Dados Abertos. A métrica DGABr preconiza que a fonte primária do dado bruto seja claramente indicada nos metadados 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</si>
  <si>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A fonte da informação do conjunto de dados, identificada como "planilha setorial", está documentada nos metadados disponíveis no portal de dados abertos da própria instituição. Contudo, verifica-se que esta mesma informação está ausente no registro correspondente do conjunto de dados no Portal Brasileiro de Dados Abertos (dados.gov.br). Adicionalmente a indicação de uma planilha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</si>
  <si>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Constata-se que a fonte da informação do conjunto de dados, identificada como "planilha setorial", está presente nos metadados publicados no portal de dados abertos da própria instituição. Contudo, verifica-se a ausência dessa mesma informação na entrada correspondente do Portal Brasileiro de Dados Abertos. Adicionalmente a indicação de uma planilha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</si>
  <si>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Com base nas evidências apresentadas, observa-se que a fonte da informação do conjunto de dados foi identificada como "Diretoria de Processos Seletivos de Estudantes". Contudo, verifica-se uma inconsistência na publicação deste metadado: a informação está presente no catálogo de dados abertos da instituição (IFMG), mas encontra-se ausente no registro correspondente no Portal Brasileiro de Dados Abertos.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</si>
  <si>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Constata-se que a fonte da informação, identificada como "Coordenadoria de Registro Acadêmico de Estudantes", é declarada nos metadados do conjunto de dados no portal da própria instituição (IFMG). Contudo, a mesma informação está ausente no registro correspondente no Portal Brasileiro de Dados Abertos.Adicionalmente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</si>
  <si>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A fonte da informação do conjunto de dados é indicada como "Coordenadoria de Registro Acadêmico de Estudantes". Contudo, esta informação está presente apenas no portal de dados abertos da instituição (IFMG), não constando nos metadados disponíveis no Portal Brasileiro de Dados Abertos.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</si>
  <si>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A fonte da informação do conjunto de dados é indicada como "https://viaipe.rnp.br". Contudo, esta informação está presente apenas no portal de dados abertos da instituição (IFMG), não constando nos metadados disponíveis no Portal Brasileiro de Dados Abertos. A atribuição do Nível 4 fundamenta-se no cumprimento parcial do critério: a identificação da fonte no catálogo local atende ao requisito principal da dimensão, mas a omissão no catálogo nacional, cuja utilização é preconizada pela dimensão D20, impede a conformidade integral (Nível 5).</t>
  </si>
  <si>
    <t>Na avaliação da dimensão D14 (Fonte da Informação), constatou-se que a origem dos dados, o sistema `http://suap.ifmg.edu.br`, é explicitada nos metadados. Contudo, esta informação está presente unicamente no portal de dados abertos da instituição publicadora, encontrando-se ausente nos metadados correspondentes no Portal Brasileiro de Dados Abertos. A atribuição do Nível 4 fundamenta-se no cumprimento parcial do critério: a identificação da fonte no catálogo local atende ao requisito principal da dimensão, mas a omissão no catálogo nacional, cuja utilização é preconizada pela dimensão D20, impede a conformidade integral (Nível 5).</t>
  </si>
  <si>
    <t>Observa-se que a fonte da informação do conjunto de dados é identificada como "Coordenadoria de Registro Acadêmico de Estudantes". Contudo, verifica-se uma inconsistência na publicação deste metadado: a informação está presente no portal de dados abertos do IFMG, mas ausente na catalogação do mesmo conjunto de dados no Portal Brasileiro de Dados Abertos.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</si>
  <si>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A fonte da informação indicada para o conjunto de dados é a "Coordenadoria de Registro Acadêmico de Estudantes". Esta informação foi localizada nos metadados do portal de dados abertos da instituição publicadora, mas não consta nos metadados correspondentes no Portal Brasileiro de Dados Abertos.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</si>
  <si>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A análise do conjunto de dados revela que o metadado referente à fonte da informação está preenchido no catálogo de dados da instituição (IFMG), indicando a "Diretoria de Assuntos Estudantis". Contudo, esta informação está ausente na catalogação do mesmo conjunto de dados no Portal Brasileiro de Dados Abertos.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</si>
  <si>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A fonte da informação, identificada como "Coordenadoria de Registro Acadêmico", consta nos metadados publicados no portal de dados abertos da instituição (IFMG), mas está ausente no registro correspondente no Portal Brasileiro de Dados Abertos. Adicionalmente a indicação de uma unidade administrativa em detrimento do sistema de origem reduz a transparência técnica sobre a proveniência do dado, o que, somado à ausência da informação no catálogo nacional, sustenta a avaliação de cumprimento parcial (Nível 3). A atribuição do Nível 3 fundamenta-se na disponibilização incompleta da informação, que está presente em um catálogo, mas ausente no portal nacional de referência e da ausência de detalhamento sobre a fonte primária dos dados corrobora o cumprimento apenas parcial do critério D14, que preconiza a indicação clara da origem do dado bruto.</t>
  </si>
  <si>
    <t>Observou-se que o conjunto de dados é disponibilizado em formatos estruturados, o que atende ao critério fundamental da dimensão D5. A métrica DGABr 2.0, em sua revisão, especifica que os níveis superiores desta dimensão (3, 4 e 5) requerem conformidade com especificações técnicas do ePing. Durante a verificação dos arquivos, identificou-se uma inconformidade pontual: um dos recursos, cujo conteúdo corresponde ao formato CSV, foi nomeado com a extensão incorreta `.xlsx`.
A referida falha, embora não comprometa a processabilidade do dado após a correção do nome do arquivo, ou até do uso do arquivo JSON, representa um desvio do padrão esperado e impede a atribuição do Nível 5, que exige 100% de conformidade. Contudo, por se tratar de uma ocorrência isolada que não afeta a totalidade dos recursos disponibilizados, considera-se que o critério de, no mínimo, 80% de adequação foi satisfeito. Desta forma, atribui-se o Nível 4, conforme a escala percentual definida pela métrica.</t>
  </si>
  <si>
    <t>A análise do conjunto de dados, acessado tanto por download de arquivos quanto via API, constatou a disponibilização em formatos estruturados (CSV e JSON), os quais são nativamente processáveis por máquina. A verificação dos recursos confirmou que os formatos seguem especificações técnicas alinhadas aos ePing. Diante da conformidade integral (100%) dos dados com os padrões técnicos exigidos, atribui-se o Nível 5. Esta avaliação alinha-se aos critérios da DGABr 2.0 para a dimensão D5, que estipula a aderência a especificações do ePING como requisito para os níveis de maior maturidade.</t>
  </si>
  <si>
    <t>Constata-se que o conjunto de dados foi disponibilizado em formato XLSX. Embora se trate de um formato estruturado, que viabiliza um processamento básico por máquina, ele não atende às especificações técnicas previstas no padrão ePING. Diante desse cenário, atribui-se o nível 2, conforme definido pela métrica DGABr, pois o conjunto não cumpre plenamente os requisitos estabelecidos, ainda que o PDA registre a orientação para que os dados sigam o padrão ePING.</t>
  </si>
  <si>
    <t>Constata-se que o conjunto de dados foi disponibilizado em formato XLS. Embora se trate de um formato estruturado, que viabiliza um processamento básico por máquina, ele não atende às especificações técnicas previstas no padrão ePING. Diante desse cenário, atribui-se o nível 2, conforme definido pela métrica DGABr, pois o conjunto não cumpre plenamente os requisitos estabelecidos, ainda que o PDA registre a orientação para que os dados sigam o padrão ePING.</t>
  </si>
  <si>
    <t>Médias por perspectiva</t>
  </si>
  <si>
    <t>Média por dimensão</t>
  </si>
  <si>
    <t>Conforme a metodologia da métrica DGABr, o nível da dimensão D16 (Qualidade dos Dados) não é atribuído por observação direta, mas sim calculado a partir da média aritmética dos níveis obtidos nas dez dimensões da perspectiva "Dados Abertos" (D1 a D10). O resultado do cálculo para o presente conjunto de dados é 2,9, obtido pela média dos seguintes níveis atribuídos à referida perspectivas. Este valor fundamenta a atribuição do Nível 3 para esta dimensão.</t>
  </si>
  <si>
    <t>O nível atribuído à dimensão D16 (Qualidade dos Dados) não resulta de uma avaliação direta, mas de um cálculo metodológico previsto pela métrica DGABr. Esta dimensão, de natureza agregadora, reflete a média aritmética simples dos níveis obtidos nas dez dimensões que compõem a perspectiva "Dados Abertos" (D1 a D10). A aplicação da fórmula resulta em um valor de 2,5, o que, conforme a convenção da métrica, corresponde à atribuição do Nível 3.</t>
  </si>
  <si>
    <t>O nível atribuído à dimensão D16 (Qualidade dos Dados) não resulta de uma avaliação direta, mas de um cálculo estipulado pela metodologia da métrica DGABr. Conforme a norma, seu valor corresponde à média aritmética simples dos níveis obtidos nas dez dimensões que compõem a perspectiva "Dados Abertos" (D1 a D10). A pontuação final é derivada do cálculo, que totaliza 2,6. Portanto, o nível atribuído a esta dimensão é 3.</t>
  </si>
  <si>
    <t>Conforme a metodologia da métrica DGABr, o nível atribuído à dimensão D16 (Qualidade dos Dados) não resulta de uma avaliação direta, mas de um cálculo derivado. O valor é determinado pela média aritmética simples dos níveis obtidos nas dez dimensões da perspectiva "Dados Abertos" (D1 a D10). A aplicação da fórmula resulta em uma média de 3,1. De acordo com o procedimento da métrica, que considera a parte inteira do resultado para a definição do nível, o valor final atribuído à dimensão é Nível 3.</t>
  </si>
  <si>
    <t>O nível atribuído à dimensão D16 (Qualidade dos Dados) não é resultado de uma avaliação direta, mas de um cálculo metodológico. Conforme estipulado pela métrica DGABr, seu valor corresponde à média aritmética dos níveis obtidos nas dez dimensões da perspectiva "Dados Abertos" (D1 a D10). O cálculo da média resulta em 2,9. Com base neste resultado, e aplicando o arredondamento para o inteiro subsequente, atribui-se o Nível 3.</t>
  </si>
  <si>
    <t>O nível atribuído à dimensão D16 (Qualidade dos Dados) é determinado por cálculo, conforme estipulado pela metodologia da métrica DGABr. Este indicador resulta da média aritmética simples dos níveis obtidos nas dez dimensões que compõem a perspectiva "Dados Abertos" (D1 a D10). Para o conjunto de dados em análise cuja média corresponde a 2,4. Com base neste resultado, foi atribuído o Nível 2 à dimensão.</t>
  </si>
  <si>
    <t>A análise documental do PDA indica que o conjunto de dados em questão está previsto para publicação. No entanto, constata-se uma divergência entre o cronograma estabelecido e a sua execução, uma vez que a data de publicação planejada (abril de 2024) não foi cumprida, ocorrendo a disponibilização somente em outubro do mesmo ano.
Este descumprimento do prazo fundamenta a atribuição do Nível 2. Conforme a métrica DGABr, este nível é aplicado a cenários em que a instituição possui uma norma ou compromisso definido, neste caso, o cronograma do PDA, mas a sua implementação não é seguida.</t>
  </si>
  <si>
    <t>A análise do PDA do órgão evidencia a existência de um cronograma que estabelecia a publicação do conjunto de dados para abril de 2024. A verificação factual, contudo, demonstra que a disponibilização ocorreu em setembro do mesmo ano. O descumprimento do prazo definido no plano de ação configura a não execução de um compromisso formalmente estabelecido.
Esta constatação fundamenta a atribuição do Nível 2, em conformidade com a métrica DGABr. Tal nível é aplicado quando a instituição possui uma norma ou recomendação definida, neste caso, o cronograma do PDA, mas a publicação dos dados não segue o que foi planejado.</t>
  </si>
  <si>
    <t>Com base na análise do PDA da instituição, constata-se que o conjunto de dados estava previsto no cronograma de publicação, com prazo estabelecido para setembro de 2023. A verificação do portal de dados abertos, contudo, evidencia que a disponibilização efetiva ocorreu apenas em outubro de 2024, configurando um descumprimento do cronograma.
De acordo com a métrica DGABr, o Nível 2 é atribuído quando a instituição possui uma norma ou recomendação definida, neste caso, o PDA, mas a publicação dos dados não segue os compromissos e metas nela estabelecidos. A divergência entre a data planejada e a data de publicação fundamenta, portanto, a atribuição deste nível para a dimensão D22 (Estratégias e cronograma).</t>
  </si>
  <si>
    <t>A avaliação da dimensão D22 (Estratégias de investimento e cronograma) baseou-se na verificação do cumprimento dos prazos estipulados no PDA da instituição. O referido plano estabelecia a publicação do conjunto de dados para abril de 2024. Contudo, a evidência documental indica que a disponibilização ocorreu em outubro do mesmo ano, configurando um descumprimento do cronograma definido.
Este cenário justifica a atribuição do Nível 2. De acordo com a métrica DGABr, este nível é aplicado quando a instituição possui uma norma ou recomendação formalizada , neste caso, o cronograma do PDA, mas os compromissos e metas nela estabelecidos não são cumpridos. A existência do plano, aliada à falha na sua execução temporal, fundamenta a pontuação atribuída.</t>
  </si>
  <si>
    <t>Verifica-se que a instituição possui um PDA para o biênio 2023/08-2025/08, o qual estabelece um cronograma para a publicação de DGA. Constata-se que o conjunto de dados objeto desta avaliação não está previsto no plano de publicações documentado.
Diante do exposto, atribui-se o Nível 2 a esta dimensão, em conformidade com a definição da métrica DGABr 2.0. A justificativa para tal nível reside na existência de uma norma ou recomendação , neste caso, o PDA , que não é seguida na publicação dos dados. A ausência do conjunto de dados no planejamento oficial é uma evidência direta dessa desconformidade entre o planejamento e a execução.</t>
  </si>
  <si>
    <t>Constata-se que a instituição possui um PDA publicado, o qual inclui um cronograma para a publicação de DGA. Contudo, a análise evidencia o não cumprimento do referido cronograma, além de o conjunto de dados em avaliação não constar no inventário previsto no documento. Esta desconformidade entre o planejamento e a execução fundamenta a atribuição do Nível 2 a esta dimensão. A definição da métrica DGABr estipula este nível para casos em que a instituição possui uma norma ou recomendação , neste caso, o PDA, mas a publicação dos dados não segue o que foi definido.</t>
  </si>
  <si>
    <t>A análise do PDA do órgão evidencia a existência de um cronograma para a publicação de DGA, porém seu cumprimento não foi observado. Adicionalmente, constata-se que o conjunto de dados em avaliação não está listado no referido plano. Este cenário caracteriza o Nível 2, uma vez que, de acordo com a métrica DGABr, a instituição possui uma norma definida , o cronograma no PDA, mas a execução prática não segue os compromissos e metas estabelecidos.</t>
  </si>
  <si>
    <t>Constata-se a existência de um cronograma de publicação de DGA formalizado no PDA da instituição. Contudo, a análise evidencia o não cumprimento do referido cronograma, uma vez que o conjunto de dados em avaliação não consta no plano de publicações vigente. Este cenário, em que há um instrumento de planejamento definido cujas diretrizes não são executadas, caracteriza o Nível 2 para a dimensão, conforme a estrutura da métrica DGABr.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</si>
</sst>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name val="Calibri"/>
    </font>
    <font>
      <u/>
      <sz val="11"/>
      <color theme="10"/>
      <name val="Calibri"/>
      <family val="2"/>
      <scheme val="minor"/>
    </font>
    <font>
      <sz val="12"/>
      <color theme="1"/>
      <name val="Calibri"/>
      <family val="2"/>
      <scheme val="minor"/>
    </font>
    <font>
      <sz val="22"/>
      <color theme="1"/>
      <name val="Calibri"/>
      <family val="2"/>
      <scheme val="minor"/>
    </font>
    <font>
      <u/>
      <sz val="11"/>
      <color theme="10"/>
      <name val="Times New Roman"/>
      <family val="1"/>
    </font>
    <font>
      <b/>
      <sz val="10"/>
      <name val="Times New Roman"/>
      <family val="1"/>
    </font>
    <font>
      <sz val="10"/>
      <color theme="1"/>
      <name val="Times New Roman"/>
      <family val="1"/>
    </font>
    <font>
      <i/>
      <sz val="10"/>
      <color theme="1"/>
      <name val="Times New Roman"/>
      <family val="1"/>
    </font>
    <font>
      <u/>
      <sz val="10"/>
      <color theme="10"/>
      <name val="Times New Roman"/>
      <family val="1"/>
    </font>
    <font>
      <b/>
      <sz val="10"/>
      <color theme="1"/>
      <name val="Times New Roman"/>
      <family val="1"/>
    </font>
    <font>
      <sz val="10"/>
      <color rgb="FF000000"/>
      <name val="Times New Roman"/>
      <family val="1"/>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52">
    <xf numFmtId="0" fontId="0" fillId="0" borderId="0" xfId="0"/>
    <xf numFmtId="0" fontId="1" fillId="0" borderId="1" xfId="0" applyFont="1" applyBorder="1" applyAlignment="1">
      <alignment horizontal="center" vertical="top"/>
    </xf>
    <xf numFmtId="0" fontId="0" fillId="0" borderId="0" xfId="0" applyAlignment="1">
      <alignment wrapText="1"/>
    </xf>
    <xf numFmtId="0" fontId="3" fillId="0" borderId="0" xfId="0" applyFont="1" applyAlignment="1">
      <alignment wrapText="1"/>
    </xf>
    <xf numFmtId="0" fontId="3" fillId="0" borderId="0" xfId="0" applyFont="1"/>
    <xf numFmtId="0" fontId="0" fillId="0" borderId="0" xfId="0" applyAlignment="1">
      <alignment horizontal="center" vertical="center" wrapText="1"/>
    </xf>
    <xf numFmtId="0" fontId="4" fillId="0" borderId="0" xfId="0" applyFont="1"/>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7" fillId="0" borderId="0" xfId="0" applyFont="1"/>
    <xf numFmtId="0" fontId="7" fillId="0" borderId="1" xfId="0" applyFont="1" applyBorder="1" applyAlignment="1">
      <alignment horizontal="center" vertical="center" wrapText="1"/>
    </xf>
    <xf numFmtId="0" fontId="7" fillId="0" borderId="0" xfId="0" applyFont="1" applyAlignment="1">
      <alignment wrapText="1"/>
    </xf>
    <xf numFmtId="0" fontId="7" fillId="0" borderId="1" xfId="0" applyFont="1" applyBorder="1" applyAlignment="1">
      <alignment horizontal="center" vertical="center"/>
    </xf>
    <xf numFmtId="0" fontId="7" fillId="2" borderId="1" xfId="0" applyFont="1" applyFill="1" applyBorder="1" applyAlignment="1">
      <alignment horizontal="center" vertical="center" wrapText="1"/>
    </xf>
    <xf numFmtId="0" fontId="7" fillId="0" borderId="1" xfId="0" applyFont="1" applyBorder="1" applyAlignment="1">
      <alignment wrapText="1"/>
    </xf>
    <xf numFmtId="0" fontId="7" fillId="0" borderId="0" xfId="0" applyFont="1" applyAlignment="1">
      <alignment horizontal="center" vertical="center" wrapText="1"/>
    </xf>
    <xf numFmtId="0" fontId="7" fillId="0" borderId="0" xfId="0" applyFont="1" applyAlignment="1">
      <alignment horizontal="center" vertical="center"/>
    </xf>
    <xf numFmtId="0" fontId="10" fillId="0" borderId="1" xfId="0" applyFont="1" applyBorder="1" applyAlignment="1">
      <alignment wrapText="1"/>
    </xf>
    <xf numFmtId="0" fontId="11" fillId="0" borderId="1" xfId="0" applyFont="1" applyBorder="1" applyAlignment="1">
      <alignment horizontal="center" vertical="center" wrapText="1"/>
    </xf>
    <xf numFmtId="2" fontId="0" fillId="0" borderId="0" xfId="0" applyNumberFormat="1"/>
    <xf numFmtId="0" fontId="10" fillId="0" borderId="2" xfId="0" applyFont="1" applyBorder="1" applyAlignment="1">
      <alignment horizontal="right" wrapText="1"/>
    </xf>
    <xf numFmtId="0" fontId="10" fillId="0" borderId="3" xfId="0" applyFont="1" applyBorder="1" applyAlignment="1">
      <alignment horizontal="right" wrapText="1"/>
    </xf>
    <xf numFmtId="0" fontId="10" fillId="0" borderId="4" xfId="0" applyFont="1" applyBorder="1" applyAlignment="1">
      <alignment horizontal="right" wrapText="1"/>
    </xf>
    <xf numFmtId="0" fontId="7" fillId="0" borderId="1" xfId="0" applyFont="1" applyBorder="1" applyAlignment="1">
      <alignment horizontal="center" wrapText="1"/>
    </xf>
    <xf numFmtId="0" fontId="9" fillId="0" borderId="1" xfId="1" applyFont="1" applyBorder="1" applyAlignment="1">
      <alignment horizontal="center" wrapText="1"/>
    </xf>
    <xf numFmtId="0" fontId="7" fillId="0" borderId="1" xfId="0" applyFont="1" applyBorder="1" applyAlignment="1">
      <alignment wrapText="1"/>
    </xf>
    <xf numFmtId="0" fontId="7" fillId="0" borderId="1" xfId="0" applyFont="1" applyBorder="1"/>
    <xf numFmtId="0" fontId="9" fillId="0" borderId="1" xfId="1" applyFont="1" applyBorder="1" applyAlignment="1"/>
    <xf numFmtId="0" fontId="10" fillId="0" borderId="1" xfId="0" applyFont="1" applyBorder="1" applyAlignment="1">
      <alignment horizontal="right" vertical="center" wrapText="1"/>
    </xf>
    <xf numFmtId="0" fontId="5" fillId="0" borderId="1" xfId="1" applyFont="1" applyBorder="1" applyAlignment="1">
      <alignment wrapText="1"/>
    </xf>
    <xf numFmtId="0" fontId="7" fillId="0" borderId="1" xfId="0" applyFont="1" applyBorder="1" applyAlignment="1">
      <alignment horizontal="right" wrapText="1"/>
    </xf>
    <xf numFmtId="0" fontId="7" fillId="0" borderId="1" xfId="0" applyFont="1" applyBorder="1" applyAlignment="1">
      <alignment horizontal="left"/>
    </xf>
    <xf numFmtId="0" fontId="7" fillId="0" borderId="1" xfId="0" applyFont="1" applyBorder="1" applyAlignment="1">
      <alignment horizontal="left" wrapText="1"/>
    </xf>
    <xf numFmtId="0" fontId="9" fillId="0" borderId="1" xfId="1" applyFont="1" applyBorder="1" applyAlignment="1">
      <alignment horizontal="left"/>
    </xf>
    <xf numFmtId="0" fontId="7" fillId="0" borderId="1" xfId="0" applyFont="1" applyBorder="1" applyAlignment="1">
      <alignment horizontal="center" vertical="center"/>
    </xf>
    <xf numFmtId="0" fontId="7" fillId="0" borderId="1" xfId="0" applyFont="1" applyBorder="1" applyAlignment="1">
      <alignment horizontal="center" vertical="center" wrapText="1"/>
    </xf>
    <xf numFmtId="0" fontId="9" fillId="0" borderId="1" xfId="1" applyFont="1" applyBorder="1" applyAlignment="1">
      <alignment horizontal="center" vertical="center"/>
    </xf>
    <xf numFmtId="0" fontId="10" fillId="0" borderId="1" xfId="0" applyFont="1" applyBorder="1" applyAlignment="1">
      <alignment horizontal="center" vertical="center" wrapText="1"/>
    </xf>
    <xf numFmtId="0" fontId="2" fillId="0" borderId="1" xfId="1" applyBorder="1" applyAlignment="1">
      <alignment horizontal="center" vertical="center"/>
    </xf>
    <xf numFmtId="0" fontId="9" fillId="0" borderId="2" xfId="1" applyFont="1" applyBorder="1" applyAlignment="1">
      <alignment horizontal="center" vertical="center" wrapText="1"/>
    </xf>
    <xf numFmtId="0" fontId="9" fillId="0" borderId="3" xfId="1" applyFont="1" applyBorder="1" applyAlignment="1">
      <alignment horizontal="center" vertical="center" wrapText="1"/>
    </xf>
    <xf numFmtId="0" fontId="9" fillId="0" borderId="4" xfId="1" applyFont="1" applyBorder="1" applyAlignment="1">
      <alignment horizontal="center" vertical="center" wrapText="1"/>
    </xf>
    <xf numFmtId="0" fontId="9" fillId="0" borderId="1" xfId="1"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1" xfId="0" applyFont="1" applyBorder="1" applyAlignment="1">
      <alignment horizontal="right" vertical="center" wrapText="1"/>
    </xf>
    <xf numFmtId="0" fontId="7" fillId="0" borderId="1" xfId="0" applyFont="1" applyBorder="1" applyAlignment="1">
      <alignment horizontal="left" vertical="center"/>
    </xf>
    <xf numFmtId="0" fontId="9" fillId="0" borderId="1" xfId="1" applyFont="1" applyBorder="1" applyAlignment="1">
      <alignment horizontal="left" vertical="center" wrapText="1"/>
    </xf>
    <xf numFmtId="0" fontId="7" fillId="0" borderId="1" xfId="0" applyFont="1" applyBorder="1" applyAlignment="1">
      <alignment horizontal="left" vertical="center" wrapText="1"/>
    </xf>
    <xf numFmtId="0" fontId="9" fillId="0" borderId="1" xfId="1" applyFont="1" applyBorder="1" applyAlignment="1">
      <alignment horizontal="left" wrapText="1"/>
    </xf>
    <xf numFmtId="0" fontId="0" fillId="0" borderId="0" xfId="0" applyAlignment="1">
      <alignment horizontal="center"/>
    </xf>
  </cellXfs>
  <cellStyles count="2">
    <cellStyle name="Hi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ados.gov.br/dados/conjuntos-dados/afastamentos-do-pais-dos-servidores-do-ifmg-2023" TargetMode="External"/><Relationship Id="rId2" Type="http://schemas.openxmlformats.org/officeDocument/2006/relationships/hyperlink" Target="https://dadosabertos.ifmg.edu.br/api/action/package_show?id=afastamentos-do-pais-dos-servidores-do-ifmg-2023" TargetMode="External"/><Relationship Id="rId1" Type="http://schemas.openxmlformats.org/officeDocument/2006/relationships/hyperlink" Target="https://dadosabertos.ifmg.edu.br/dataset/afastamentos-do-pais-dos-servidores-do-ifmg-2023"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dosabertos.ifmg.edu.br/api/action/package_show?id=afastamentos_do_pais_dos_servidores_do_ifmg_2024_" TargetMode="External"/><Relationship Id="rId2" Type="http://schemas.openxmlformats.org/officeDocument/2006/relationships/hyperlink" Target="https://dadosabertos.ifmg.edu.br/dataset/afastamentos_do_pais_dos_servidores_do_ifmg_2024_" TargetMode="External"/><Relationship Id="rId1" Type="http://schemas.openxmlformats.org/officeDocument/2006/relationships/hyperlink" Target="https://dados.gov.br/dados/conjuntos-dados/afastamentos_do_pais_dos_servidores_do_ifmg_2024_"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dados.gov.br/dados/conjuntos-dados/candidatos-e-vagas-nos-processos-seletivos-de-cursos-tecnicos" TargetMode="External"/><Relationship Id="rId2" Type="http://schemas.openxmlformats.org/officeDocument/2006/relationships/hyperlink" Target="https://dadosabertos.ifmg.edu.br/api/action/package_show?id=candidatos-e-vagas-nos-processos-seletivos-de-cursos-tecnicos" TargetMode="External"/><Relationship Id="rId1" Type="http://schemas.openxmlformats.org/officeDocument/2006/relationships/hyperlink" Target="https://dadosabertos.ifmg.edu.br/dataset/candidatos-e-vagas-nos-processos-seletivos-de-cursos-tecnico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dadosabertos.ifmg.edu.br/api/action/package_show?id=dados-abertos-projetos-extensao-ifmg" TargetMode="External"/><Relationship Id="rId2" Type="http://schemas.openxmlformats.org/officeDocument/2006/relationships/hyperlink" Target="https://dados.gov.br/dados/conjuntos-dados/dados-abertos-projetos-extensao-ifmg" TargetMode="External"/><Relationship Id="rId1" Type="http://schemas.openxmlformats.org/officeDocument/2006/relationships/hyperlink" Target="https://dadosabertos.ifmg.edu.br/dataset/dados-abertos-projetos-extensao-ifmg"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dadosabertos.ifmg.edu.br/api/action/package_show?id=dados-abertos-extensao-ifmg" TargetMode="External"/><Relationship Id="rId2" Type="http://schemas.openxmlformats.org/officeDocument/2006/relationships/hyperlink" Target="https://dados.gov.br/dados/conjuntos-dados/dados-abertos-extensao-ifmg" TargetMode="External"/><Relationship Id="rId1" Type="http://schemas.openxmlformats.org/officeDocument/2006/relationships/hyperlink" Target="https://dadosabertos.ifmg.edu.br/dataset/dados-abertos-extensao-ifmg"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adosabertos.ifmg.edu.br/api/action/package_show?id=denuncias-apuradas-pela-corregedoria-em-2018a2023" TargetMode="External"/><Relationship Id="rId2" Type="http://schemas.openxmlformats.org/officeDocument/2006/relationships/hyperlink" Target="https://dadosabertos.ifmg.edu.br/dataset/denuncias-apuradas-pela-corregedoria-em-2018a2023" TargetMode="External"/><Relationship Id="rId1" Type="http://schemas.openxmlformats.org/officeDocument/2006/relationships/hyperlink" Target="https://dados.gov.br/dados/conjuntos-dados/denuncias-apuradas-pela-corregedoria-em-2018a2023"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dadosabertos.ifmg.edu.br/dataset/cursos-tecnicos-ofertados" TargetMode="External"/><Relationship Id="rId2" Type="http://schemas.openxmlformats.org/officeDocument/2006/relationships/hyperlink" Target="https://dadosabertos.ifmg.edu.br/api/action/package_show?id=cursos-tecnicos-ofertados." TargetMode="External"/><Relationship Id="rId1" Type="http://schemas.openxmlformats.org/officeDocument/2006/relationships/hyperlink" Target="https://dados.gov.br/dados/conjuntos-dados/candidatos-e-vagas-nos-processos-seletivos-de-cursos-tecnicos"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dadosabertos.ifmg.edu.br/dataset/cursos-de-graduacao-ofertados" TargetMode="External"/><Relationship Id="rId2" Type="http://schemas.openxmlformats.org/officeDocument/2006/relationships/hyperlink" Target="https://dadosabertos.ifmg.edu.br/api/action/package_show?id=cursos-de-graduacao-ofertados" TargetMode="External"/><Relationship Id="rId1" Type="http://schemas.openxmlformats.org/officeDocument/2006/relationships/hyperlink" Target="https://dados.gov.br/dados/conjuntos-dados/cursos-de-graduacao-ofertados"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dadosabertos.ifmg.edu.br/api/action/package_show?id=pos_graduacao_lato_sensu" TargetMode="External"/><Relationship Id="rId2" Type="http://schemas.openxmlformats.org/officeDocument/2006/relationships/hyperlink" Target="https://dados.gov.br/dados/conjuntos-dados/pos_graduacao_lato_sensu" TargetMode="External"/><Relationship Id="rId1" Type="http://schemas.openxmlformats.org/officeDocument/2006/relationships/hyperlink" Target="https://dadosabertos.ifmg.edu.br/dataset/pos_graduacao_lato_sensu" TargetMode="External"/><Relationship Id="rId4"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3" Type="http://schemas.openxmlformats.org/officeDocument/2006/relationships/hyperlink" Target="https://dados.gov.br/dados/conjuntos-dados/cursos_mestrado_2024" TargetMode="External"/><Relationship Id="rId2" Type="http://schemas.openxmlformats.org/officeDocument/2006/relationships/hyperlink" Target="https://dadosabertos.ifmg.edu.br/api/action/package_show?id=cursos_mestrado_2024" TargetMode="External"/><Relationship Id="rId1" Type="http://schemas.openxmlformats.org/officeDocument/2006/relationships/hyperlink" Target="https://dadosabertos.ifmg.edu.br/dataset/cursos_mestrado_202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dadosabertos.ifmg.edu.br/api/action/package_show?id=candidatos-e-vagas-nos-processos-seletivos-de-cursos-de-graduacao" TargetMode="External"/><Relationship Id="rId2" Type="http://schemas.openxmlformats.org/officeDocument/2006/relationships/hyperlink" Target="https://dadosabertos.ifmg.edu.br/dataset/candidatos-e-vagas-nos-processos-seletivos-de-cursos-de-graduacao" TargetMode="External"/><Relationship Id="rId1" Type="http://schemas.openxmlformats.org/officeDocument/2006/relationships/hyperlink" Target="https://dados.gov.br/dados/conjuntos-dados/candidatos-e-vagas-nos-processos-seletivos-de-cursos-de-graduacao"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dadosabertos.ifmg.edu.br/api/action/package_show?id=disciplinas-dos-cursos-de-grduacao" TargetMode="External"/><Relationship Id="rId2" Type="http://schemas.openxmlformats.org/officeDocument/2006/relationships/hyperlink" Target="https://dadosabertos.ifmg.edu.br/dataset/disciplinas-dos-cursos-de-grduacao" TargetMode="External"/><Relationship Id="rId1" Type="http://schemas.openxmlformats.org/officeDocument/2006/relationships/hyperlink" Target="https://dados.gov.br/dados/conjuntos-dados/disciplinas-dos-cursos-de-grduacao"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dadosabertos.ifmg.edu.br/dataset/disciplinas-dos-cursos-tecnicos" TargetMode="External"/><Relationship Id="rId2" Type="http://schemas.openxmlformats.org/officeDocument/2006/relationships/hyperlink" Target="https://dadosabertos.ifmg.edu.br/api/action/package_show?id=disciplinas-dos-cursos-tecnicos" TargetMode="External"/><Relationship Id="rId1" Type="http://schemas.openxmlformats.org/officeDocument/2006/relationships/hyperlink" Target="https://dados.gov.br/dados/conjuntos-dados/disciplinas-dos-cursos-tecnicos1"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dadosabertos.ifmg.edu.br/dataset/link-internet" TargetMode="External"/><Relationship Id="rId2" Type="http://schemas.openxmlformats.org/officeDocument/2006/relationships/hyperlink" Target="https://dadosabertos.ifmg.edu.br/api/action/package_show?id=link-internet" TargetMode="External"/><Relationship Id="rId1" Type="http://schemas.openxmlformats.org/officeDocument/2006/relationships/hyperlink" Target="https://dados.gov.br/dados/conjuntos-dados/link-internet"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dadosabertos.ifmg.edu.br/api/action/package_show?id=chamados-de-suporte" TargetMode="External"/><Relationship Id="rId2" Type="http://schemas.openxmlformats.org/officeDocument/2006/relationships/hyperlink" Target="https://dadosabertos.ifmg.edu.br/dataset/chamados-de-suporte" TargetMode="External"/><Relationship Id="rId1" Type="http://schemas.openxmlformats.org/officeDocument/2006/relationships/hyperlink" Target="https://dados.gov.br/dados/conjuntos-dados/chamados-de-suporte"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dadosabertos.ifmg.edu.br/api/action/package_show?id=matriculas-iniciais-nos-cursos-tecnicos-e-de-graduacao" TargetMode="External"/><Relationship Id="rId2" Type="http://schemas.openxmlformats.org/officeDocument/2006/relationships/hyperlink" Target="https://dadosabertos.ifmg.edu.br/dataset/matriculas-iniciais-nos-cursos-tecnicos-e-de-graduacao" TargetMode="External"/><Relationship Id="rId1" Type="http://schemas.openxmlformats.org/officeDocument/2006/relationships/hyperlink" Target="https://dados.gov.br/dados/conjuntos-dados/matriculas-iniciais-nos-cursos-tecnicos-e-de-graduacao"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dadosabertos.ifmg.edu.br/api/action/package_show?id=quantitativo-de-discentes-e-docentes-por-campus" TargetMode="External"/><Relationship Id="rId2" Type="http://schemas.openxmlformats.org/officeDocument/2006/relationships/hyperlink" Target="https://dadosabertos.ifmg.edu.br/dataset/quantitativo-de-discentes-e-docentes-por-campus" TargetMode="External"/><Relationship Id="rId1" Type="http://schemas.openxmlformats.org/officeDocument/2006/relationships/hyperlink" Target="https://dados.gov.br/dados/conjuntos-dados/quantitativo-de-discentes-e-docentes-por-campus"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adosabertos.ifmg.edu.br/dataset/quantitativo-de-estudantes-com-necessidades-educacionais-especificas-atendidos-pelos-napnees" TargetMode="External"/><Relationship Id="rId2" Type="http://schemas.openxmlformats.org/officeDocument/2006/relationships/hyperlink" Target="https://dadosabertos.ifmg.edu.br/dataset/quantitativo-de-estudantes-com-necessidades-educacionais-especificas-atendidos-pelos-napnees" TargetMode="External"/><Relationship Id="rId1" Type="http://schemas.openxmlformats.org/officeDocument/2006/relationships/hyperlink" Target="https://dados.gov.br/dados/conjuntos-dados/quantitativo-de-estudantes-com-necessidades-educacionais-especificas-atendidos-pelos-napnees"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dadosabertos.ifmg.edu.br/api/action/package_show?id=certificados-e-declaracoes-parciais-com-base-nos-resultados-do-encceja" TargetMode="External"/><Relationship Id="rId2" Type="http://schemas.openxmlformats.org/officeDocument/2006/relationships/hyperlink" Target="https://dados.gov.br/dados/conjuntos-dados/certificados-e-declaracoes-parciais-com-base-nos-resultados-do-encceja" TargetMode="External"/><Relationship Id="rId1" Type="http://schemas.openxmlformats.org/officeDocument/2006/relationships/hyperlink" Target="https://dadosabertos.ifmg.edu.br/dataset/certificados-e-declaracoes-parciais-com-base-nos-resultados-do-encceja"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dadosabertos.ifmg.edu.br/dataset/divulgacoes-do-ifmg" TargetMode="External"/><Relationship Id="rId2" Type="http://schemas.openxmlformats.org/officeDocument/2006/relationships/hyperlink" Target="https://dadosabertos.ifmg.edu.br/api/action/package_show?id=divulgacoes-do-ifmg" TargetMode="External"/><Relationship Id="rId1" Type="http://schemas.openxmlformats.org/officeDocument/2006/relationships/hyperlink" Target="https://dados.gov.br/dados/conjuntos-dados/divulgacoes-do-ifmg1"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https://dadosabertos.ifmg.edu.br/api/action/package_show?id=portarias-publicadas-pela-reitoria-do-ifmg-2023" TargetMode="External"/><Relationship Id="rId2" Type="http://schemas.openxmlformats.org/officeDocument/2006/relationships/hyperlink" Target="https://dadosabertos.ifmg.edu.br/dataset/portarias-publicadas-pela-reitoria-do-ifmg-2023" TargetMode="External"/><Relationship Id="rId1" Type="http://schemas.openxmlformats.org/officeDocument/2006/relationships/hyperlink" Target="https://dados.gov.br/dados/conjuntos-dados/portarias-publicadas-pela-reitoria-do-ifmg-20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opLeftCell="A19" zoomScale="120" zoomScaleNormal="120" workbookViewId="0">
      <selection activeCell="E22" sqref="E22:F22"/>
    </sheetView>
  </sheetViews>
  <sheetFormatPr defaultRowHeight="15" x14ac:dyDescent="0.25"/>
  <cols>
    <col min="1" max="1" width="10.85546875" customWidth="1"/>
    <col min="2" max="2" width="4.5703125" bestFit="1" customWidth="1"/>
    <col min="3" max="3" width="13.85546875" style="2" customWidth="1"/>
    <col min="4" max="4" width="5.42578125" bestFit="1" customWidth="1"/>
    <col min="5" max="5" width="5.85546875" customWidth="1"/>
    <col min="6" max="6" width="73.85546875" style="2" customWidth="1"/>
    <col min="7" max="7" width="5.7109375" customWidth="1"/>
  </cols>
  <sheetData>
    <row r="1" spans="1:7" ht="25.5" x14ac:dyDescent="0.25">
      <c r="A1" s="8" t="s">
        <v>0</v>
      </c>
      <c r="B1" s="8" t="s">
        <v>1</v>
      </c>
      <c r="C1" s="8" t="s">
        <v>2</v>
      </c>
      <c r="D1" s="8" t="s">
        <v>3</v>
      </c>
      <c r="E1" s="8" t="s">
        <v>4</v>
      </c>
      <c r="F1" s="8" t="s">
        <v>5</v>
      </c>
      <c r="G1" s="8" t="s">
        <v>6</v>
      </c>
    </row>
    <row r="2" spans="1:7" ht="165.75" x14ac:dyDescent="0.25">
      <c r="A2" s="10" t="s">
        <v>7</v>
      </c>
      <c r="B2" s="10" t="s">
        <v>8</v>
      </c>
      <c r="C2" s="10" t="s">
        <v>9</v>
      </c>
      <c r="D2" s="10">
        <v>1</v>
      </c>
      <c r="E2" s="10">
        <v>0</v>
      </c>
      <c r="F2" s="10" t="s">
        <v>121</v>
      </c>
      <c r="G2" s="10">
        <f>E2*D2</f>
        <v>0</v>
      </c>
    </row>
    <row r="3" spans="1:7" ht="127.5" x14ac:dyDescent="0.25">
      <c r="A3" s="10" t="s">
        <v>7</v>
      </c>
      <c r="B3" s="10" t="s">
        <v>10</v>
      </c>
      <c r="C3" s="10" t="s">
        <v>11</v>
      </c>
      <c r="D3" s="10">
        <v>1</v>
      </c>
      <c r="E3" s="10">
        <v>5</v>
      </c>
      <c r="F3" s="10" t="s">
        <v>120</v>
      </c>
      <c r="G3" s="10">
        <f t="shared" ref="G3:G29" si="0">E3*D3</f>
        <v>5</v>
      </c>
    </row>
    <row r="4" spans="1:7" ht="140.25" x14ac:dyDescent="0.25">
      <c r="A4" s="10" t="s">
        <v>7</v>
      </c>
      <c r="B4" s="10" t="s">
        <v>12</v>
      </c>
      <c r="C4" s="10" t="s">
        <v>13</v>
      </c>
      <c r="D4" s="10">
        <v>1</v>
      </c>
      <c r="E4" s="10">
        <v>0</v>
      </c>
      <c r="F4" s="10" t="s">
        <v>83</v>
      </c>
      <c r="G4" s="10">
        <f t="shared" si="0"/>
        <v>0</v>
      </c>
    </row>
    <row r="5" spans="1:7" ht="114.75" x14ac:dyDescent="0.25">
      <c r="A5" s="10" t="s">
        <v>7</v>
      </c>
      <c r="B5" s="10" t="s">
        <v>14</v>
      </c>
      <c r="C5" s="10" t="s">
        <v>15</v>
      </c>
      <c r="D5" s="10">
        <v>1</v>
      </c>
      <c r="E5" s="10">
        <v>5</v>
      </c>
      <c r="F5" s="10" t="s">
        <v>119</v>
      </c>
      <c r="G5" s="10">
        <f t="shared" si="0"/>
        <v>5</v>
      </c>
    </row>
    <row r="6" spans="1:7" ht="89.25" x14ac:dyDescent="0.25">
      <c r="A6" s="10" t="s">
        <v>7</v>
      </c>
      <c r="B6" s="10" t="s">
        <v>16</v>
      </c>
      <c r="C6" s="10" t="s">
        <v>17</v>
      </c>
      <c r="D6" s="10">
        <v>1</v>
      </c>
      <c r="E6" s="10">
        <v>5</v>
      </c>
      <c r="F6" s="10" t="s">
        <v>559</v>
      </c>
      <c r="G6" s="10">
        <f t="shared" si="0"/>
        <v>5</v>
      </c>
    </row>
    <row r="7" spans="1:7" ht="63.75" x14ac:dyDescent="0.25">
      <c r="A7" s="10" t="s">
        <v>7</v>
      </c>
      <c r="B7" s="10" t="s">
        <v>18</v>
      </c>
      <c r="C7" s="10" t="s">
        <v>19</v>
      </c>
      <c r="D7" s="10">
        <v>1</v>
      </c>
      <c r="E7" s="10">
        <v>5</v>
      </c>
      <c r="F7" s="10" t="s">
        <v>475</v>
      </c>
      <c r="G7" s="10">
        <f t="shared" si="0"/>
        <v>5</v>
      </c>
    </row>
    <row r="8" spans="1:7" ht="63.75" x14ac:dyDescent="0.25">
      <c r="A8" s="10" t="s">
        <v>7</v>
      </c>
      <c r="B8" s="10" t="s">
        <v>20</v>
      </c>
      <c r="C8" s="10" t="s">
        <v>21</v>
      </c>
      <c r="D8" s="10">
        <v>1</v>
      </c>
      <c r="E8" s="10">
        <v>5</v>
      </c>
      <c r="F8" s="10" t="s">
        <v>70</v>
      </c>
      <c r="G8" s="10">
        <f t="shared" si="0"/>
        <v>5</v>
      </c>
    </row>
    <row r="9" spans="1:7" ht="165.75" x14ac:dyDescent="0.25">
      <c r="A9" s="10" t="s">
        <v>7</v>
      </c>
      <c r="B9" s="10" t="s">
        <v>22</v>
      </c>
      <c r="C9" s="10" t="s">
        <v>23</v>
      </c>
      <c r="D9" s="10">
        <v>1</v>
      </c>
      <c r="E9" s="10">
        <v>2</v>
      </c>
      <c r="F9" s="10" t="s">
        <v>483</v>
      </c>
      <c r="G9" s="10">
        <f t="shared" si="0"/>
        <v>2</v>
      </c>
    </row>
    <row r="10" spans="1:7" ht="204" x14ac:dyDescent="0.25">
      <c r="A10" s="10" t="s">
        <v>7</v>
      </c>
      <c r="B10" s="10" t="s">
        <v>24</v>
      </c>
      <c r="C10" s="10" t="s">
        <v>25</v>
      </c>
      <c r="D10" s="10">
        <v>1</v>
      </c>
      <c r="E10" s="10">
        <v>2</v>
      </c>
      <c r="F10" s="10" t="s">
        <v>124</v>
      </c>
      <c r="G10" s="10">
        <f t="shared" si="0"/>
        <v>2</v>
      </c>
    </row>
    <row r="11" spans="1:7" ht="89.25" x14ac:dyDescent="0.25">
      <c r="A11" s="10" t="s">
        <v>7</v>
      </c>
      <c r="B11" s="10" t="s">
        <v>26</v>
      </c>
      <c r="C11" s="10" t="s">
        <v>27</v>
      </c>
      <c r="D11" s="10">
        <v>1</v>
      </c>
      <c r="E11" s="10">
        <v>0</v>
      </c>
      <c r="F11" s="10" t="s">
        <v>473</v>
      </c>
      <c r="G11" s="10">
        <f t="shared" si="0"/>
        <v>0</v>
      </c>
    </row>
    <row r="12" spans="1:7" ht="89.25" x14ac:dyDescent="0.25">
      <c r="A12" s="10" t="s">
        <v>28</v>
      </c>
      <c r="B12" s="10" t="s">
        <v>29</v>
      </c>
      <c r="C12" s="10" t="s">
        <v>30</v>
      </c>
      <c r="D12" s="10">
        <v>3</v>
      </c>
      <c r="E12" s="10">
        <v>5</v>
      </c>
      <c r="F12" s="10" t="s">
        <v>161</v>
      </c>
      <c r="G12" s="10">
        <f t="shared" si="0"/>
        <v>15</v>
      </c>
    </row>
    <row r="13" spans="1:7" ht="140.25" x14ac:dyDescent="0.25">
      <c r="A13" s="10" t="s">
        <v>28</v>
      </c>
      <c r="B13" s="10" t="s">
        <v>31</v>
      </c>
      <c r="C13" s="10" t="s">
        <v>32</v>
      </c>
      <c r="D13" s="10">
        <v>3</v>
      </c>
      <c r="E13" s="10">
        <v>4</v>
      </c>
      <c r="F13" s="10" t="s">
        <v>118</v>
      </c>
      <c r="G13" s="10">
        <f t="shared" si="0"/>
        <v>12</v>
      </c>
    </row>
    <row r="14" spans="1:7" ht="76.5"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4</v>
      </c>
      <c r="F15" s="10" t="s">
        <v>71</v>
      </c>
      <c r="G15" s="10">
        <f t="shared" si="0"/>
        <v>8</v>
      </c>
    </row>
    <row r="16" spans="1:7" ht="89.25" x14ac:dyDescent="0.25">
      <c r="A16" s="10" t="s">
        <v>35</v>
      </c>
      <c r="B16" s="10" t="s">
        <v>38</v>
      </c>
      <c r="C16" s="10" t="s">
        <v>39</v>
      </c>
      <c r="D16" s="10">
        <v>2</v>
      </c>
      <c r="E16" s="10">
        <v>5</v>
      </c>
      <c r="F16" s="10" t="s">
        <v>117</v>
      </c>
      <c r="G16" s="10">
        <f t="shared" si="0"/>
        <v>10</v>
      </c>
    </row>
    <row r="17" spans="1:7" ht="63.75" x14ac:dyDescent="0.25">
      <c r="A17" s="10" t="s">
        <v>35</v>
      </c>
      <c r="B17" s="10" t="s">
        <v>40</v>
      </c>
      <c r="C17" s="10" t="s">
        <v>41</v>
      </c>
      <c r="D17" s="10">
        <v>2</v>
      </c>
      <c r="E17" s="10">
        <v>3</v>
      </c>
      <c r="F17" s="10" t="s">
        <v>122</v>
      </c>
      <c r="G17" s="10">
        <f t="shared" si="0"/>
        <v>6</v>
      </c>
    </row>
    <row r="18" spans="1:7" ht="153" x14ac:dyDescent="0.25">
      <c r="A18" s="10" t="s">
        <v>35</v>
      </c>
      <c r="B18" s="10" t="s">
        <v>42</v>
      </c>
      <c r="C18" s="10" t="s">
        <v>43</v>
      </c>
      <c r="D18" s="10">
        <v>2</v>
      </c>
      <c r="E18" s="10">
        <v>4</v>
      </c>
      <c r="F18" s="10" t="s">
        <v>130</v>
      </c>
      <c r="G18" s="10">
        <f t="shared" si="0"/>
        <v>8</v>
      </c>
    </row>
    <row r="19" spans="1:7" ht="140.25" x14ac:dyDescent="0.25">
      <c r="A19" s="10" t="s">
        <v>35</v>
      </c>
      <c r="B19" s="10" t="s">
        <v>44</v>
      </c>
      <c r="C19" s="10" t="s">
        <v>45</v>
      </c>
      <c r="D19" s="10">
        <v>2</v>
      </c>
      <c r="E19" s="10">
        <v>0</v>
      </c>
      <c r="F19" s="10" t="s">
        <v>116</v>
      </c>
      <c r="G19" s="10">
        <f t="shared" si="0"/>
        <v>0</v>
      </c>
    </row>
    <row r="20" spans="1:7" ht="127.5" x14ac:dyDescent="0.25">
      <c r="A20" s="10" t="s">
        <v>35</v>
      </c>
      <c r="B20" s="10" t="s">
        <v>46</v>
      </c>
      <c r="C20" s="10" t="s">
        <v>47</v>
      </c>
      <c r="D20" s="10">
        <v>2</v>
      </c>
      <c r="E20" s="10">
        <v>5</v>
      </c>
      <c r="F20" s="10" t="s">
        <v>115</v>
      </c>
      <c r="G20" s="10">
        <f t="shared" si="0"/>
        <v>10</v>
      </c>
    </row>
    <row r="21" spans="1:7" ht="76.5" x14ac:dyDescent="0.25">
      <c r="A21" s="10" t="s">
        <v>35</v>
      </c>
      <c r="B21" s="10" t="s">
        <v>48</v>
      </c>
      <c r="C21" s="10" t="s">
        <v>49</v>
      </c>
      <c r="D21" s="10">
        <v>2</v>
      </c>
      <c r="E21" s="10">
        <v>5</v>
      </c>
      <c r="F21" s="10" t="s">
        <v>79</v>
      </c>
      <c r="G21" s="10">
        <f t="shared" si="0"/>
        <v>10</v>
      </c>
    </row>
    <row r="22" spans="1:7" ht="127.5" x14ac:dyDescent="0.25">
      <c r="A22" s="10" t="s">
        <v>50</v>
      </c>
      <c r="B22" s="10" t="s">
        <v>51</v>
      </c>
      <c r="C22" s="10" t="s">
        <v>52</v>
      </c>
      <c r="D22" s="10">
        <v>2</v>
      </c>
      <c r="E22" s="10">
        <v>1</v>
      </c>
      <c r="F22" s="10" t="s">
        <v>137</v>
      </c>
      <c r="G22" s="10">
        <f t="shared" si="0"/>
        <v>2</v>
      </c>
    </row>
    <row r="23" spans="1:7" ht="127.5" x14ac:dyDescent="0.25">
      <c r="A23" s="10" t="s">
        <v>50</v>
      </c>
      <c r="B23" s="10" t="s">
        <v>53</v>
      </c>
      <c r="C23" s="10" t="s">
        <v>54</v>
      </c>
      <c r="D23" s="10">
        <v>2</v>
      </c>
      <c r="E23" s="10">
        <v>2</v>
      </c>
      <c r="F23" s="10" t="s">
        <v>482</v>
      </c>
      <c r="G23" s="10">
        <f t="shared" si="0"/>
        <v>4</v>
      </c>
    </row>
    <row r="24" spans="1:7" ht="191.25"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89.25" x14ac:dyDescent="0.25">
      <c r="A26" s="10" t="s">
        <v>57</v>
      </c>
      <c r="B26" s="10" t="s">
        <v>60</v>
      </c>
      <c r="C26" s="10" t="s">
        <v>61</v>
      </c>
      <c r="D26" s="10">
        <v>3</v>
      </c>
      <c r="E26" s="10">
        <v>0</v>
      </c>
      <c r="F26" s="10" t="s">
        <v>84</v>
      </c>
      <c r="G26" s="10">
        <f t="shared" si="0"/>
        <v>0</v>
      </c>
    </row>
    <row r="27" spans="1:7" ht="89.25" x14ac:dyDescent="0.25">
      <c r="A27" s="10" t="s">
        <v>57</v>
      </c>
      <c r="B27" s="10" t="s">
        <v>62</v>
      </c>
      <c r="C27" s="10" t="s">
        <v>63</v>
      </c>
      <c r="D27" s="10">
        <v>3</v>
      </c>
      <c r="E27" s="10">
        <v>0</v>
      </c>
      <c r="F27" s="10" t="s">
        <v>85</v>
      </c>
      <c r="G27" s="10">
        <f t="shared" si="0"/>
        <v>0</v>
      </c>
    </row>
    <row r="28" spans="1:7" ht="140.25" x14ac:dyDescent="0.25">
      <c r="A28" s="10" t="s">
        <v>57</v>
      </c>
      <c r="B28" s="10" t="s">
        <v>64</v>
      </c>
      <c r="C28" s="10" t="s">
        <v>65</v>
      </c>
      <c r="D28" s="10">
        <v>3</v>
      </c>
      <c r="E28" s="10">
        <v>0</v>
      </c>
      <c r="F28" s="10" t="s">
        <v>114</v>
      </c>
      <c r="G28" s="10">
        <f t="shared" si="0"/>
        <v>0</v>
      </c>
    </row>
    <row r="29" spans="1:7" ht="114.75" x14ac:dyDescent="0.25">
      <c r="A29" s="10" t="s">
        <v>57</v>
      </c>
      <c r="B29" s="10" t="s">
        <v>66</v>
      </c>
      <c r="C29" s="10" t="s">
        <v>68</v>
      </c>
      <c r="D29" s="10">
        <v>3</v>
      </c>
      <c r="E29" s="10">
        <v>0</v>
      </c>
      <c r="F29" s="10" t="s">
        <v>481</v>
      </c>
      <c r="G29" s="10">
        <f t="shared" si="0"/>
        <v>0</v>
      </c>
    </row>
    <row r="30" spans="1:7" x14ac:dyDescent="0.25">
      <c r="A30" s="20" t="s">
        <v>67</v>
      </c>
      <c r="B30" s="21"/>
      <c r="C30" s="21"/>
      <c r="D30" s="21"/>
      <c r="E30" s="21"/>
      <c r="F30" s="22"/>
      <c r="G30" s="17">
        <f>SUM(G2:G29)</f>
        <v>129</v>
      </c>
    </row>
    <row r="31" spans="1:7" x14ac:dyDescent="0.25">
      <c r="A31" s="20" t="s">
        <v>69</v>
      </c>
      <c r="B31" s="21"/>
      <c r="C31" s="21"/>
      <c r="D31" s="21"/>
      <c r="E31" s="21"/>
      <c r="F31" s="22"/>
      <c r="G31" s="17">
        <f>IF(G30&lt;54,1,IF(G30&lt;108,2,IF(G30&lt;162,3,IF(G30&lt;216,4,5))))</f>
        <v>3</v>
      </c>
    </row>
    <row r="32" spans="1:7" x14ac:dyDescent="0.25">
      <c r="A32" s="23" t="s">
        <v>72</v>
      </c>
      <c r="B32" s="23"/>
      <c r="C32" s="23"/>
      <c r="D32" s="24" t="s">
        <v>75</v>
      </c>
      <c r="E32" s="24"/>
      <c r="F32" s="24"/>
      <c r="G32" s="24"/>
    </row>
    <row r="33" spans="1:7" x14ac:dyDescent="0.25">
      <c r="A33" s="23" t="s">
        <v>73</v>
      </c>
      <c r="B33" s="23"/>
      <c r="C33" s="23"/>
      <c r="D33" s="24" t="s">
        <v>74</v>
      </c>
      <c r="E33" s="24"/>
      <c r="F33" s="24"/>
      <c r="G33" s="24"/>
    </row>
    <row r="34" spans="1:7" x14ac:dyDescent="0.25">
      <c r="A34" s="23" t="s">
        <v>91</v>
      </c>
      <c r="B34" s="23"/>
      <c r="C34" s="23"/>
      <c r="D34" s="24" t="s">
        <v>93</v>
      </c>
      <c r="E34" s="24"/>
      <c r="F34" s="24"/>
      <c r="G34" s="24"/>
    </row>
  </sheetData>
  <mergeCells count="8">
    <mergeCell ref="A30:F30"/>
    <mergeCell ref="A31:F31"/>
    <mergeCell ref="A32:C32"/>
    <mergeCell ref="A33:C33"/>
    <mergeCell ref="A34:C34"/>
    <mergeCell ref="D32:G32"/>
    <mergeCell ref="D33:G33"/>
    <mergeCell ref="D34:G34"/>
  </mergeCells>
  <hyperlinks>
    <hyperlink ref="D32" r:id="rId1" xr:uid="{B48FEE39-070D-4C65-8C9C-9A07A999617A}"/>
    <hyperlink ref="D34" r:id="rId2" xr:uid="{EEC590F2-C8F6-4467-8DFC-A0188FCC47EF}"/>
    <hyperlink ref="D33" r:id="rId3" xr:uid="{D71CD176-6C00-4226-838C-F617134A886E}"/>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
  <sheetViews>
    <sheetView topLeftCell="A16" zoomScale="120" zoomScaleNormal="120" workbookViewId="0">
      <selection activeCell="F23" sqref="F23"/>
    </sheetView>
  </sheetViews>
  <sheetFormatPr defaultRowHeight="12.75" x14ac:dyDescent="0.2"/>
  <cols>
    <col min="1" max="1" width="12.28515625" style="9" customWidth="1"/>
    <col min="2" max="2" width="4.28515625" style="9" bestFit="1" customWidth="1"/>
    <col min="3" max="3" width="15.7109375" style="9" customWidth="1"/>
    <col min="4" max="4" width="5.42578125" style="9" bestFit="1" customWidth="1"/>
    <col min="5" max="5" width="6.28515625" style="9" customWidth="1"/>
    <col min="6" max="6" width="95.7109375" style="9" customWidth="1"/>
    <col min="7" max="7" width="5.42578125" style="9" bestFit="1" customWidth="1"/>
    <col min="8" max="16384" width="9.140625" style="9"/>
  </cols>
  <sheetData>
    <row r="1" spans="1:7" ht="25.5" x14ac:dyDescent="0.2">
      <c r="A1" s="7" t="s">
        <v>0</v>
      </c>
      <c r="B1" s="7" t="s">
        <v>1</v>
      </c>
      <c r="C1" s="7" t="s">
        <v>2</v>
      </c>
      <c r="D1" s="7" t="s">
        <v>3</v>
      </c>
      <c r="E1" s="8" t="s">
        <v>4</v>
      </c>
      <c r="F1" s="7" t="s">
        <v>5</v>
      </c>
      <c r="G1" s="7" t="s">
        <v>6</v>
      </c>
    </row>
    <row r="2" spans="1:7" s="11" customFormat="1" ht="102" x14ac:dyDescent="0.2">
      <c r="A2" s="10" t="s">
        <v>7</v>
      </c>
      <c r="B2" s="10" t="s">
        <v>8</v>
      </c>
      <c r="C2" s="10" t="s">
        <v>9</v>
      </c>
      <c r="D2" s="10">
        <v>1</v>
      </c>
      <c r="E2" s="10">
        <v>0</v>
      </c>
      <c r="F2" s="10" t="s">
        <v>107</v>
      </c>
      <c r="G2" s="10">
        <f>E2*D2</f>
        <v>0</v>
      </c>
    </row>
    <row r="3" spans="1:7" s="11" customFormat="1" ht="102" x14ac:dyDescent="0.2">
      <c r="A3" s="10" t="s">
        <v>7</v>
      </c>
      <c r="B3" s="10" t="s">
        <v>10</v>
      </c>
      <c r="C3" s="10" t="s">
        <v>11</v>
      </c>
      <c r="D3" s="10">
        <v>1</v>
      </c>
      <c r="E3" s="10">
        <v>5</v>
      </c>
      <c r="F3" s="10" t="s">
        <v>90</v>
      </c>
      <c r="G3" s="10">
        <f t="shared" ref="G3:G29" si="0">E3*D3</f>
        <v>5</v>
      </c>
    </row>
    <row r="4" spans="1:7" s="11" customFormat="1" ht="126" customHeight="1" x14ac:dyDescent="0.2">
      <c r="A4" s="10" t="s">
        <v>7</v>
      </c>
      <c r="B4" s="10" t="s">
        <v>12</v>
      </c>
      <c r="C4" s="10" t="s">
        <v>13</v>
      </c>
      <c r="D4" s="10">
        <v>1</v>
      </c>
      <c r="E4" s="10">
        <v>0</v>
      </c>
      <c r="F4" s="10" t="s">
        <v>94</v>
      </c>
      <c r="G4" s="10">
        <f t="shared" si="0"/>
        <v>0</v>
      </c>
    </row>
    <row r="5" spans="1:7" s="11" customFormat="1" ht="89.25" x14ac:dyDescent="0.2">
      <c r="A5" s="10" t="s">
        <v>7</v>
      </c>
      <c r="B5" s="10" t="s">
        <v>14</v>
      </c>
      <c r="C5" s="10" t="s">
        <v>15</v>
      </c>
      <c r="D5" s="10">
        <v>1</v>
      </c>
      <c r="E5" s="10">
        <v>5</v>
      </c>
      <c r="F5" s="10" t="s">
        <v>108</v>
      </c>
      <c r="G5" s="10">
        <f t="shared" si="0"/>
        <v>5</v>
      </c>
    </row>
    <row r="6" spans="1:7" s="11" customFormat="1" ht="76.5" x14ac:dyDescent="0.2">
      <c r="A6" s="10" t="s">
        <v>7</v>
      </c>
      <c r="B6" s="10" t="s">
        <v>16</v>
      </c>
      <c r="C6" s="10" t="s">
        <v>17</v>
      </c>
      <c r="D6" s="10">
        <v>1</v>
      </c>
      <c r="E6" s="10">
        <v>5</v>
      </c>
      <c r="F6" s="10" t="s">
        <v>87</v>
      </c>
      <c r="G6" s="10">
        <f t="shared" si="0"/>
        <v>5</v>
      </c>
    </row>
    <row r="7" spans="1:7" s="11" customFormat="1" ht="63.75" x14ac:dyDescent="0.2">
      <c r="A7" s="10" t="s">
        <v>7</v>
      </c>
      <c r="B7" s="10" t="s">
        <v>18</v>
      </c>
      <c r="C7" s="10" t="s">
        <v>19</v>
      </c>
      <c r="D7" s="10">
        <v>1</v>
      </c>
      <c r="E7" s="10">
        <v>5</v>
      </c>
      <c r="F7" s="10" t="s">
        <v>88</v>
      </c>
      <c r="G7" s="10">
        <f t="shared" si="0"/>
        <v>5</v>
      </c>
    </row>
    <row r="8" spans="1:7" s="11" customFormat="1" ht="51" x14ac:dyDescent="0.2">
      <c r="A8" s="10" t="s">
        <v>7</v>
      </c>
      <c r="B8" s="10" t="s">
        <v>20</v>
      </c>
      <c r="C8" s="10" t="s">
        <v>21</v>
      </c>
      <c r="D8" s="10">
        <v>1</v>
      </c>
      <c r="E8" s="10">
        <v>5</v>
      </c>
      <c r="F8" s="10" t="s">
        <v>78</v>
      </c>
      <c r="G8" s="10">
        <f t="shared" si="0"/>
        <v>5</v>
      </c>
    </row>
    <row r="9" spans="1:7" s="11" customFormat="1" ht="140.25" x14ac:dyDescent="0.2">
      <c r="A9" s="10" t="s">
        <v>7</v>
      </c>
      <c r="B9" s="10" t="s">
        <v>22</v>
      </c>
      <c r="C9" s="10" t="s">
        <v>23</v>
      </c>
      <c r="D9" s="10">
        <v>1</v>
      </c>
      <c r="E9" s="12">
        <v>2</v>
      </c>
      <c r="F9" s="10" t="s">
        <v>483</v>
      </c>
      <c r="G9" s="10">
        <f t="shared" si="0"/>
        <v>2</v>
      </c>
    </row>
    <row r="10" spans="1:7" s="11" customFormat="1" ht="165.75" x14ac:dyDescent="0.2">
      <c r="A10" s="10" t="s">
        <v>7</v>
      </c>
      <c r="B10" s="10" t="s">
        <v>24</v>
      </c>
      <c r="C10" s="10" t="s">
        <v>25</v>
      </c>
      <c r="D10" s="10">
        <v>1</v>
      </c>
      <c r="E10" s="12">
        <v>2</v>
      </c>
      <c r="F10" s="10" t="s">
        <v>125</v>
      </c>
      <c r="G10" s="10">
        <f t="shared" si="0"/>
        <v>2</v>
      </c>
    </row>
    <row r="11" spans="1:7" s="11" customFormat="1" ht="63.75" x14ac:dyDescent="0.2">
      <c r="A11" s="10" t="s">
        <v>7</v>
      </c>
      <c r="B11" s="10" t="s">
        <v>26</v>
      </c>
      <c r="C11" s="10" t="s">
        <v>27</v>
      </c>
      <c r="D11" s="10">
        <v>1</v>
      </c>
      <c r="E11" s="12">
        <v>0</v>
      </c>
      <c r="F11" s="10" t="s">
        <v>473</v>
      </c>
      <c r="G11" s="10">
        <f t="shared" si="0"/>
        <v>0</v>
      </c>
    </row>
    <row r="12" spans="1:7" s="11" customFormat="1" ht="76.5" x14ac:dyDescent="0.2">
      <c r="A12" s="10" t="s">
        <v>28</v>
      </c>
      <c r="B12" s="10" t="s">
        <v>29</v>
      </c>
      <c r="C12" s="10" t="s">
        <v>30</v>
      </c>
      <c r="D12" s="10">
        <v>3</v>
      </c>
      <c r="E12" s="12">
        <v>5</v>
      </c>
      <c r="F12" s="10" t="s">
        <v>162</v>
      </c>
      <c r="G12" s="10">
        <f t="shared" si="0"/>
        <v>15</v>
      </c>
    </row>
    <row r="13" spans="1:7" s="11" customFormat="1" ht="127.5" x14ac:dyDescent="0.2">
      <c r="A13" s="10" t="s">
        <v>28</v>
      </c>
      <c r="B13" s="10" t="s">
        <v>31</v>
      </c>
      <c r="C13" s="10" t="s">
        <v>32</v>
      </c>
      <c r="D13" s="10">
        <v>3</v>
      </c>
      <c r="E13" s="10">
        <v>4</v>
      </c>
      <c r="F13" s="10" t="s">
        <v>109</v>
      </c>
      <c r="G13" s="10">
        <f t="shared" si="0"/>
        <v>12</v>
      </c>
    </row>
    <row r="14" spans="1:7" s="11" customFormat="1" ht="63.75" x14ac:dyDescent="0.2">
      <c r="A14" s="10" t="s">
        <v>28</v>
      </c>
      <c r="B14" s="10" t="s">
        <v>33</v>
      </c>
      <c r="C14" s="10" t="s">
        <v>34</v>
      </c>
      <c r="D14" s="10">
        <v>3</v>
      </c>
      <c r="E14" s="10">
        <v>2</v>
      </c>
      <c r="F14" s="10" t="s">
        <v>113</v>
      </c>
      <c r="G14" s="10">
        <f t="shared" si="0"/>
        <v>6</v>
      </c>
    </row>
    <row r="15" spans="1:7" s="11" customFormat="1" ht="102" x14ac:dyDescent="0.2">
      <c r="A15" s="10" t="s">
        <v>35</v>
      </c>
      <c r="B15" s="10" t="s">
        <v>36</v>
      </c>
      <c r="C15" s="10" t="s">
        <v>37</v>
      </c>
      <c r="D15" s="10">
        <v>2</v>
      </c>
      <c r="E15" s="10">
        <v>4</v>
      </c>
      <c r="F15" s="10" t="s">
        <v>541</v>
      </c>
      <c r="G15" s="10">
        <f t="shared" si="0"/>
        <v>8</v>
      </c>
    </row>
    <row r="16" spans="1:7" s="11" customFormat="1" ht="89.25" x14ac:dyDescent="0.2">
      <c r="A16" s="10" t="s">
        <v>35</v>
      </c>
      <c r="B16" s="10" t="s">
        <v>38</v>
      </c>
      <c r="C16" s="10" t="s">
        <v>39</v>
      </c>
      <c r="D16" s="10">
        <v>2</v>
      </c>
      <c r="E16" s="10">
        <v>5</v>
      </c>
      <c r="F16" s="10" t="s">
        <v>95</v>
      </c>
      <c r="G16" s="10">
        <f t="shared" si="0"/>
        <v>10</v>
      </c>
    </row>
    <row r="17" spans="1:7" s="11" customFormat="1" ht="51" x14ac:dyDescent="0.2">
      <c r="A17" s="10" t="s">
        <v>35</v>
      </c>
      <c r="B17" s="10" t="s">
        <v>40</v>
      </c>
      <c r="C17" s="10" t="s">
        <v>41</v>
      </c>
      <c r="D17" s="10">
        <v>2</v>
      </c>
      <c r="E17" s="10">
        <v>3</v>
      </c>
      <c r="F17" s="10" t="s">
        <v>564</v>
      </c>
      <c r="G17" s="10">
        <f t="shared" si="0"/>
        <v>6</v>
      </c>
    </row>
    <row r="18" spans="1:7" s="11" customFormat="1" ht="114.75" x14ac:dyDescent="0.2">
      <c r="A18" s="10" t="s">
        <v>35</v>
      </c>
      <c r="B18" s="10" t="s">
        <v>42</v>
      </c>
      <c r="C18" s="10" t="s">
        <v>43</v>
      </c>
      <c r="D18" s="10">
        <v>2</v>
      </c>
      <c r="E18" s="10">
        <v>4</v>
      </c>
      <c r="F18" s="10" t="s">
        <v>130</v>
      </c>
      <c r="G18" s="10">
        <f t="shared" si="0"/>
        <v>8</v>
      </c>
    </row>
    <row r="19" spans="1:7" s="11" customFormat="1" ht="114.75" x14ac:dyDescent="0.2">
      <c r="A19" s="10" t="s">
        <v>35</v>
      </c>
      <c r="B19" s="10" t="s">
        <v>44</v>
      </c>
      <c r="C19" s="10" t="s">
        <v>45</v>
      </c>
      <c r="D19" s="10">
        <v>2</v>
      </c>
      <c r="E19" s="10">
        <v>0</v>
      </c>
      <c r="F19" s="10" t="s">
        <v>110</v>
      </c>
      <c r="G19" s="10">
        <f t="shared" si="0"/>
        <v>0</v>
      </c>
    </row>
    <row r="20" spans="1:7" s="11" customFormat="1" ht="102" x14ac:dyDescent="0.2">
      <c r="A20" s="10" t="s">
        <v>35</v>
      </c>
      <c r="B20" s="10" t="s">
        <v>46</v>
      </c>
      <c r="C20" s="10" t="s">
        <v>47</v>
      </c>
      <c r="D20" s="10">
        <v>2</v>
      </c>
      <c r="E20" s="10">
        <v>5</v>
      </c>
      <c r="F20" s="10" t="s">
        <v>111</v>
      </c>
      <c r="G20" s="10">
        <f t="shared" si="0"/>
        <v>10</v>
      </c>
    </row>
    <row r="21" spans="1:7" s="11" customFormat="1" ht="63.75" x14ac:dyDescent="0.2">
      <c r="A21" s="10" t="s">
        <v>35</v>
      </c>
      <c r="B21" s="10" t="s">
        <v>48</v>
      </c>
      <c r="C21" s="10" t="s">
        <v>49</v>
      </c>
      <c r="D21" s="10">
        <v>2</v>
      </c>
      <c r="E21" s="10">
        <v>5</v>
      </c>
      <c r="F21" s="10" t="s">
        <v>96</v>
      </c>
      <c r="G21" s="10">
        <f t="shared" si="0"/>
        <v>10</v>
      </c>
    </row>
    <row r="22" spans="1:7" s="11" customFormat="1" ht="102" x14ac:dyDescent="0.2">
      <c r="A22" s="10" t="s">
        <v>50</v>
      </c>
      <c r="B22" s="10" t="s">
        <v>51</v>
      </c>
      <c r="C22" s="10" t="s">
        <v>52</v>
      </c>
      <c r="D22" s="10">
        <v>2</v>
      </c>
      <c r="E22" s="10">
        <v>1</v>
      </c>
      <c r="F22" s="10" t="s">
        <v>137</v>
      </c>
      <c r="G22" s="10">
        <f t="shared" si="0"/>
        <v>2</v>
      </c>
    </row>
    <row r="23" spans="1:7" s="11" customFormat="1" ht="114.75" x14ac:dyDescent="0.2">
      <c r="A23" s="10" t="s">
        <v>50</v>
      </c>
      <c r="B23" s="10" t="s">
        <v>53</v>
      </c>
      <c r="C23" s="10" t="s">
        <v>54</v>
      </c>
      <c r="D23" s="10">
        <v>2</v>
      </c>
      <c r="E23" s="10">
        <v>2</v>
      </c>
      <c r="F23" s="10" t="s">
        <v>485</v>
      </c>
      <c r="G23" s="10">
        <f t="shared" si="0"/>
        <v>4</v>
      </c>
    </row>
    <row r="24" spans="1:7" s="11" customFormat="1" ht="153" x14ac:dyDescent="0.2">
      <c r="A24" s="10" t="s">
        <v>50</v>
      </c>
      <c r="B24" s="10" t="s">
        <v>55</v>
      </c>
      <c r="C24" s="10" t="s">
        <v>56</v>
      </c>
      <c r="D24" s="10">
        <v>2</v>
      </c>
      <c r="E24" s="10">
        <v>3</v>
      </c>
      <c r="F24" s="10" t="s">
        <v>479</v>
      </c>
      <c r="G24" s="10">
        <f t="shared" si="0"/>
        <v>6</v>
      </c>
    </row>
    <row r="25" spans="1:7" s="11" customFormat="1" ht="38.25" x14ac:dyDescent="0.2">
      <c r="A25" s="10" t="s">
        <v>57</v>
      </c>
      <c r="B25" s="10" t="s">
        <v>58</v>
      </c>
      <c r="C25" s="10" t="s">
        <v>59</v>
      </c>
      <c r="D25" s="10">
        <v>3</v>
      </c>
      <c r="E25" s="13">
        <v>1</v>
      </c>
      <c r="F25" s="13" t="s">
        <v>138</v>
      </c>
      <c r="G25" s="10">
        <f t="shared" si="0"/>
        <v>3</v>
      </c>
    </row>
    <row r="26" spans="1:7" s="11" customFormat="1" ht="51" x14ac:dyDescent="0.2">
      <c r="A26" s="10" t="s">
        <v>57</v>
      </c>
      <c r="B26" s="10" t="s">
        <v>60</v>
      </c>
      <c r="C26" s="10" t="s">
        <v>61</v>
      </c>
      <c r="D26" s="10">
        <v>3</v>
      </c>
      <c r="E26" s="10">
        <v>0</v>
      </c>
      <c r="F26" s="10" t="s">
        <v>97</v>
      </c>
      <c r="G26" s="10">
        <f t="shared" si="0"/>
        <v>0</v>
      </c>
    </row>
    <row r="27" spans="1:7" s="11" customFormat="1" ht="76.5" x14ac:dyDescent="0.2">
      <c r="A27" s="10" t="s">
        <v>57</v>
      </c>
      <c r="B27" s="10" t="s">
        <v>62</v>
      </c>
      <c r="C27" s="10" t="s">
        <v>63</v>
      </c>
      <c r="D27" s="10">
        <v>3</v>
      </c>
      <c r="E27" s="10">
        <v>0</v>
      </c>
      <c r="F27" s="10" t="s">
        <v>112</v>
      </c>
      <c r="G27" s="10">
        <f t="shared" si="0"/>
        <v>0</v>
      </c>
    </row>
    <row r="28" spans="1:7" s="11" customFormat="1" ht="102" x14ac:dyDescent="0.2">
      <c r="A28" s="10" t="s">
        <v>57</v>
      </c>
      <c r="B28" s="10" t="s">
        <v>64</v>
      </c>
      <c r="C28" s="10" t="s">
        <v>65</v>
      </c>
      <c r="D28" s="10">
        <v>3</v>
      </c>
      <c r="E28" s="10">
        <v>0</v>
      </c>
      <c r="F28" s="10" t="s">
        <v>357</v>
      </c>
      <c r="G28" s="10">
        <f t="shared" si="0"/>
        <v>0</v>
      </c>
    </row>
    <row r="29" spans="1:7" s="11" customFormat="1" ht="63.75" x14ac:dyDescent="0.2">
      <c r="A29" s="10" t="s">
        <v>57</v>
      </c>
      <c r="B29" s="10" t="s">
        <v>66</v>
      </c>
      <c r="C29" s="10" t="s">
        <v>68</v>
      </c>
      <c r="D29" s="10">
        <v>3</v>
      </c>
      <c r="E29" s="10">
        <v>0</v>
      </c>
      <c r="F29" s="10" t="s">
        <v>98</v>
      </c>
      <c r="G29" s="10">
        <f t="shared" si="0"/>
        <v>0</v>
      </c>
    </row>
    <row r="30" spans="1:7" s="11" customFormat="1" x14ac:dyDescent="0.2">
      <c r="A30" s="28" t="s">
        <v>67</v>
      </c>
      <c r="B30" s="28"/>
      <c r="C30" s="28"/>
      <c r="D30" s="28"/>
      <c r="E30" s="28"/>
      <c r="F30" s="28"/>
      <c r="G30" s="10">
        <f>SUM(G2:G29)</f>
        <v>129</v>
      </c>
    </row>
    <row r="31" spans="1:7" s="11" customFormat="1" x14ac:dyDescent="0.2">
      <c r="A31" s="28" t="s">
        <v>69</v>
      </c>
      <c r="B31" s="28"/>
      <c r="C31" s="28"/>
      <c r="D31" s="28"/>
      <c r="E31" s="28"/>
      <c r="F31" s="28"/>
      <c r="G31" s="10">
        <f>IF(G30&lt;54,1,IF(G30&lt;108,2,IF(G30&lt;162,3,IF(G30&lt;216,4,5))))</f>
        <v>3</v>
      </c>
    </row>
    <row r="32" spans="1:7" s="11" customFormat="1" ht="13.5" x14ac:dyDescent="0.25">
      <c r="A32" s="26" t="s">
        <v>72</v>
      </c>
      <c r="B32" s="26"/>
      <c r="C32" s="26"/>
      <c r="D32" s="29" t="s">
        <v>76</v>
      </c>
      <c r="E32" s="25"/>
      <c r="F32" s="25"/>
      <c r="G32" s="25"/>
    </row>
    <row r="33" spans="1:7" x14ac:dyDescent="0.2">
      <c r="A33" s="25" t="s">
        <v>73</v>
      </c>
      <c r="B33" s="25"/>
      <c r="C33" s="25"/>
      <c r="D33" s="27" t="s">
        <v>77</v>
      </c>
      <c r="E33" s="27"/>
      <c r="F33" s="27"/>
      <c r="G33" s="27"/>
    </row>
    <row r="34" spans="1:7" x14ac:dyDescent="0.2">
      <c r="A34" s="26" t="s">
        <v>91</v>
      </c>
      <c r="B34" s="26"/>
      <c r="C34" s="26"/>
      <c r="D34" s="27" t="s">
        <v>92</v>
      </c>
      <c r="E34" s="26"/>
      <c r="F34" s="26"/>
      <c r="G34" s="26"/>
    </row>
  </sheetData>
  <mergeCells count="8">
    <mergeCell ref="A33:C33"/>
    <mergeCell ref="A34:C34"/>
    <mergeCell ref="D34:G34"/>
    <mergeCell ref="D33:G33"/>
    <mergeCell ref="A30:F30"/>
    <mergeCell ref="A31:F31"/>
    <mergeCell ref="D32:G32"/>
    <mergeCell ref="A32:C32"/>
  </mergeCells>
  <hyperlinks>
    <hyperlink ref="D33" r:id="rId1" xr:uid="{757D2BB5-4754-44B0-A5E4-1C519F8F0C92}"/>
    <hyperlink ref="D32" r:id="rId2" xr:uid="{D9E32A48-2F41-4C85-AB09-1DCA420545B0}"/>
    <hyperlink ref="D34" r:id="rId3" xr:uid="{E7C5DE86-A6DD-4C8B-B3B9-3ED69E47C0AA}"/>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4"/>
  <sheetViews>
    <sheetView topLeftCell="A15" zoomScale="130" zoomScaleNormal="130" workbookViewId="0">
      <selection activeCell="E22" sqref="E22:F22"/>
    </sheetView>
  </sheetViews>
  <sheetFormatPr defaultRowHeight="15.75" x14ac:dyDescent="0.25"/>
  <cols>
    <col min="1" max="1" width="11" style="4" customWidth="1"/>
    <col min="2" max="2" width="4" style="4" bestFit="1" customWidth="1"/>
    <col min="3" max="3" width="14.42578125" style="4" customWidth="1"/>
    <col min="4" max="4" width="4.7109375" style="4" bestFit="1" customWidth="1"/>
    <col min="5" max="5" width="6.140625" style="4" customWidth="1"/>
    <col min="6" max="6" width="135.42578125" style="4" customWidth="1"/>
    <col min="7" max="7" width="5" style="4" bestFit="1" customWidth="1"/>
    <col min="8" max="16384" width="9.140625" style="4"/>
  </cols>
  <sheetData>
    <row r="1" spans="1:7" s="3" customFormat="1" ht="24.75" customHeight="1" x14ac:dyDescent="0.25">
      <c r="A1" s="8" t="s">
        <v>0</v>
      </c>
      <c r="B1" s="8" t="s">
        <v>1</v>
      </c>
      <c r="C1" s="8" t="s">
        <v>2</v>
      </c>
      <c r="D1" s="8" t="s">
        <v>3</v>
      </c>
      <c r="E1" s="8" t="s">
        <v>4</v>
      </c>
      <c r="F1" s="8" t="s">
        <v>5</v>
      </c>
      <c r="G1" s="8" t="s">
        <v>6</v>
      </c>
    </row>
    <row r="2" spans="1:7" s="3" customFormat="1" ht="102" x14ac:dyDescent="0.25">
      <c r="A2" s="10" t="s">
        <v>7</v>
      </c>
      <c r="B2" s="10" t="s">
        <v>8</v>
      </c>
      <c r="C2" s="10" t="s">
        <v>9</v>
      </c>
      <c r="D2" s="10">
        <v>1</v>
      </c>
      <c r="E2" s="10">
        <v>0</v>
      </c>
      <c r="F2" s="10" t="s">
        <v>521</v>
      </c>
      <c r="G2" s="10">
        <f>E2*D2</f>
        <v>0</v>
      </c>
    </row>
    <row r="3" spans="1:7" s="3" customFormat="1" ht="76.5" x14ac:dyDescent="0.25">
      <c r="A3" s="10" t="s">
        <v>7</v>
      </c>
      <c r="B3" s="10" t="s">
        <v>10</v>
      </c>
      <c r="C3" s="10" t="s">
        <v>11</v>
      </c>
      <c r="D3" s="10">
        <v>1</v>
      </c>
      <c r="E3" s="10">
        <v>0</v>
      </c>
      <c r="F3" s="10" t="s">
        <v>486</v>
      </c>
      <c r="G3" s="10">
        <f t="shared" ref="G3:G29" si="0">E3*D3</f>
        <v>0</v>
      </c>
    </row>
    <row r="4" spans="1:7" s="3" customFormat="1" ht="76.5" x14ac:dyDescent="0.25">
      <c r="A4" s="10" t="s">
        <v>7</v>
      </c>
      <c r="B4" s="10" t="s">
        <v>12</v>
      </c>
      <c r="C4" s="10" t="s">
        <v>13</v>
      </c>
      <c r="D4" s="10">
        <v>1</v>
      </c>
      <c r="E4" s="10">
        <v>3</v>
      </c>
      <c r="F4" s="10" t="s">
        <v>487</v>
      </c>
      <c r="G4" s="10">
        <f t="shared" si="0"/>
        <v>3</v>
      </c>
    </row>
    <row r="5" spans="1:7" s="3" customFormat="1" ht="38.25" x14ac:dyDescent="0.25">
      <c r="A5" s="10" t="s">
        <v>7</v>
      </c>
      <c r="B5" s="10" t="s">
        <v>14</v>
      </c>
      <c r="C5" s="10" t="s">
        <v>15</v>
      </c>
      <c r="D5" s="10">
        <v>1</v>
      </c>
      <c r="E5" s="10">
        <v>5</v>
      </c>
      <c r="F5" s="10" t="s">
        <v>99</v>
      </c>
      <c r="G5" s="10">
        <f t="shared" si="0"/>
        <v>5</v>
      </c>
    </row>
    <row r="6" spans="1:7" s="3" customFormat="1" ht="63.75" x14ac:dyDescent="0.25">
      <c r="A6" s="10" t="s">
        <v>7</v>
      </c>
      <c r="B6" s="10" t="s">
        <v>16</v>
      </c>
      <c r="C6" s="10" t="s">
        <v>17</v>
      </c>
      <c r="D6" s="10">
        <v>1</v>
      </c>
      <c r="E6" s="10">
        <v>5</v>
      </c>
      <c r="F6" s="10" t="s">
        <v>100</v>
      </c>
      <c r="G6" s="10">
        <f t="shared" si="0"/>
        <v>5</v>
      </c>
    </row>
    <row r="7" spans="1:7" s="3" customFormat="1" ht="63.75" x14ac:dyDescent="0.25">
      <c r="A7" s="10" t="s">
        <v>7</v>
      </c>
      <c r="B7" s="10" t="s">
        <v>18</v>
      </c>
      <c r="C7" s="10" t="s">
        <v>19</v>
      </c>
      <c r="D7" s="10">
        <v>1</v>
      </c>
      <c r="E7" s="10">
        <v>5</v>
      </c>
      <c r="F7" s="10" t="s">
        <v>101</v>
      </c>
      <c r="G7" s="10">
        <f t="shared" si="0"/>
        <v>5</v>
      </c>
    </row>
    <row r="8" spans="1:7" s="3" customFormat="1" ht="38.25" x14ac:dyDescent="0.25">
      <c r="A8" s="10" t="s">
        <v>7</v>
      </c>
      <c r="B8" s="10" t="s">
        <v>20</v>
      </c>
      <c r="C8" s="10" t="s">
        <v>21</v>
      </c>
      <c r="D8" s="10">
        <v>1</v>
      </c>
      <c r="E8" s="10">
        <v>5</v>
      </c>
      <c r="F8" s="10" t="s">
        <v>102</v>
      </c>
      <c r="G8" s="10">
        <f t="shared" si="0"/>
        <v>5</v>
      </c>
    </row>
    <row r="9" spans="1:7" s="3" customFormat="1" ht="102" x14ac:dyDescent="0.25">
      <c r="A9" s="10" t="s">
        <v>7</v>
      </c>
      <c r="B9" s="10" t="s">
        <v>22</v>
      </c>
      <c r="C9" s="10" t="s">
        <v>23</v>
      </c>
      <c r="D9" s="10">
        <v>1</v>
      </c>
      <c r="E9" s="12">
        <v>2</v>
      </c>
      <c r="F9" s="10" t="s">
        <v>483</v>
      </c>
      <c r="G9" s="10">
        <f t="shared" si="0"/>
        <v>2</v>
      </c>
    </row>
    <row r="10" spans="1:7" s="3" customFormat="1" ht="114.75" x14ac:dyDescent="0.25">
      <c r="A10" s="10" t="s">
        <v>7</v>
      </c>
      <c r="B10" s="10" t="s">
        <v>24</v>
      </c>
      <c r="C10" s="10" t="s">
        <v>25</v>
      </c>
      <c r="D10" s="10">
        <v>1</v>
      </c>
      <c r="E10" s="12">
        <v>2</v>
      </c>
      <c r="F10" s="10" t="s">
        <v>123</v>
      </c>
      <c r="G10" s="10">
        <f t="shared" si="0"/>
        <v>2</v>
      </c>
    </row>
    <row r="11" spans="1:7" s="3" customFormat="1" ht="51" x14ac:dyDescent="0.25">
      <c r="A11" s="10" t="s">
        <v>7</v>
      </c>
      <c r="B11" s="10" t="s">
        <v>26</v>
      </c>
      <c r="C11" s="10" t="s">
        <v>27</v>
      </c>
      <c r="D11" s="10">
        <v>1</v>
      </c>
      <c r="E11" s="12">
        <v>0</v>
      </c>
      <c r="F11" s="10" t="s">
        <v>473</v>
      </c>
      <c r="G11" s="10">
        <f t="shared" si="0"/>
        <v>0</v>
      </c>
    </row>
    <row r="12" spans="1:7" s="3" customFormat="1" ht="63.75" x14ac:dyDescent="0.25">
      <c r="A12" s="10" t="s">
        <v>28</v>
      </c>
      <c r="B12" s="10" t="s">
        <v>29</v>
      </c>
      <c r="C12" s="10" t="s">
        <v>30</v>
      </c>
      <c r="D12" s="10">
        <v>3</v>
      </c>
      <c r="E12" s="12">
        <v>5</v>
      </c>
      <c r="F12" s="10" t="s">
        <v>163</v>
      </c>
      <c r="G12" s="10">
        <f t="shared" si="0"/>
        <v>15</v>
      </c>
    </row>
    <row r="13" spans="1:7" s="3" customFormat="1" ht="63.75" x14ac:dyDescent="0.25">
      <c r="A13" s="10" t="s">
        <v>28</v>
      </c>
      <c r="B13" s="10" t="s">
        <v>31</v>
      </c>
      <c r="C13" s="10" t="s">
        <v>32</v>
      </c>
      <c r="D13" s="10">
        <v>3</v>
      </c>
      <c r="E13" s="10">
        <v>4</v>
      </c>
      <c r="F13" s="10" t="s">
        <v>126</v>
      </c>
      <c r="G13" s="10">
        <f t="shared" si="0"/>
        <v>12</v>
      </c>
    </row>
    <row r="14" spans="1:7" s="3" customFormat="1" ht="38.25" x14ac:dyDescent="0.25">
      <c r="A14" s="10" t="s">
        <v>28</v>
      </c>
      <c r="B14" s="10" t="s">
        <v>33</v>
      </c>
      <c r="C14" s="10" t="s">
        <v>34</v>
      </c>
      <c r="D14" s="10">
        <v>3</v>
      </c>
      <c r="E14" s="10">
        <v>2</v>
      </c>
      <c r="F14" s="10" t="s">
        <v>113</v>
      </c>
      <c r="G14" s="10">
        <f t="shared" si="0"/>
        <v>6</v>
      </c>
    </row>
    <row r="15" spans="1:7" s="3" customFormat="1" ht="76.5" x14ac:dyDescent="0.25">
      <c r="A15" s="10" t="s">
        <v>35</v>
      </c>
      <c r="B15" s="10" t="s">
        <v>36</v>
      </c>
      <c r="C15" s="10" t="s">
        <v>37</v>
      </c>
      <c r="D15" s="10">
        <v>2</v>
      </c>
      <c r="E15" s="10">
        <v>3</v>
      </c>
      <c r="F15" s="10" t="s">
        <v>542</v>
      </c>
      <c r="G15" s="10">
        <f t="shared" si="0"/>
        <v>6</v>
      </c>
    </row>
    <row r="16" spans="1:7" s="3" customFormat="1" ht="63.75" x14ac:dyDescent="0.25">
      <c r="A16" s="10" t="s">
        <v>35</v>
      </c>
      <c r="B16" s="10" t="s">
        <v>38</v>
      </c>
      <c r="C16" s="10" t="s">
        <v>39</v>
      </c>
      <c r="D16" s="10">
        <v>2</v>
      </c>
      <c r="E16" s="10">
        <v>5</v>
      </c>
      <c r="F16" s="10" t="s">
        <v>128</v>
      </c>
      <c r="G16" s="10">
        <f t="shared" si="0"/>
        <v>10</v>
      </c>
    </row>
    <row r="17" spans="1:7" s="3" customFormat="1" ht="38.25" x14ac:dyDescent="0.25">
      <c r="A17" s="10" t="s">
        <v>35</v>
      </c>
      <c r="B17" s="10" t="s">
        <v>40</v>
      </c>
      <c r="C17" s="10" t="s">
        <v>41</v>
      </c>
      <c r="D17" s="10">
        <v>2</v>
      </c>
      <c r="E17" s="10">
        <v>3</v>
      </c>
      <c r="F17" s="10" t="s">
        <v>129</v>
      </c>
      <c r="G17" s="10">
        <f t="shared" si="0"/>
        <v>6</v>
      </c>
    </row>
    <row r="18" spans="1:7" s="3" customFormat="1" ht="76.5" x14ac:dyDescent="0.25">
      <c r="A18" s="10" t="s">
        <v>35</v>
      </c>
      <c r="B18" s="10" t="s">
        <v>42</v>
      </c>
      <c r="C18" s="10" t="s">
        <v>43</v>
      </c>
      <c r="D18" s="10">
        <v>2</v>
      </c>
      <c r="E18" s="10">
        <v>4</v>
      </c>
      <c r="F18" s="10" t="s">
        <v>130</v>
      </c>
      <c r="G18" s="10">
        <f t="shared" si="0"/>
        <v>8</v>
      </c>
    </row>
    <row r="19" spans="1:7" s="3" customFormat="1" ht="51" x14ac:dyDescent="0.25">
      <c r="A19" s="10" t="s">
        <v>35</v>
      </c>
      <c r="B19" s="10" t="s">
        <v>44</v>
      </c>
      <c r="C19" s="10" t="s">
        <v>45</v>
      </c>
      <c r="D19" s="10">
        <v>2</v>
      </c>
      <c r="E19" s="10">
        <v>5</v>
      </c>
      <c r="F19" s="10" t="s">
        <v>488</v>
      </c>
      <c r="G19" s="10">
        <f t="shared" si="0"/>
        <v>10</v>
      </c>
    </row>
    <row r="20" spans="1:7" s="3" customFormat="1" ht="63.75" x14ac:dyDescent="0.25">
      <c r="A20" s="10" t="s">
        <v>35</v>
      </c>
      <c r="B20" s="10" t="s">
        <v>46</v>
      </c>
      <c r="C20" s="10" t="s">
        <v>47</v>
      </c>
      <c r="D20" s="10">
        <v>2</v>
      </c>
      <c r="E20" s="10">
        <v>5</v>
      </c>
      <c r="F20" s="10" t="s">
        <v>132</v>
      </c>
      <c r="G20" s="10">
        <f t="shared" si="0"/>
        <v>10</v>
      </c>
    </row>
    <row r="21" spans="1:7" s="3" customFormat="1" ht="63.75" x14ac:dyDescent="0.25">
      <c r="A21" s="10" t="s">
        <v>35</v>
      </c>
      <c r="B21" s="10" t="s">
        <v>48</v>
      </c>
      <c r="C21" s="10" t="s">
        <v>49</v>
      </c>
      <c r="D21" s="10">
        <v>2</v>
      </c>
      <c r="E21" s="10">
        <v>5</v>
      </c>
      <c r="F21" s="10" t="s">
        <v>131</v>
      </c>
      <c r="G21" s="10">
        <f t="shared" si="0"/>
        <v>10</v>
      </c>
    </row>
    <row r="22" spans="1:7" s="3" customFormat="1" ht="63.75" x14ac:dyDescent="0.25">
      <c r="A22" s="10" t="s">
        <v>50</v>
      </c>
      <c r="B22" s="10" t="s">
        <v>51</v>
      </c>
      <c r="C22" s="10" t="s">
        <v>52</v>
      </c>
      <c r="D22" s="10">
        <v>2</v>
      </c>
      <c r="E22" s="10">
        <v>1</v>
      </c>
      <c r="F22" s="10" t="s">
        <v>137</v>
      </c>
      <c r="G22" s="10">
        <f t="shared" si="0"/>
        <v>2</v>
      </c>
    </row>
    <row r="23" spans="1:7" s="3" customFormat="1" ht="63.75" x14ac:dyDescent="0.25">
      <c r="A23" s="10" t="s">
        <v>50</v>
      </c>
      <c r="B23" s="10" t="s">
        <v>53</v>
      </c>
      <c r="C23" s="10" t="s">
        <v>54</v>
      </c>
      <c r="D23" s="10">
        <v>2</v>
      </c>
      <c r="E23" s="10">
        <v>2</v>
      </c>
      <c r="F23" s="10" t="s">
        <v>571</v>
      </c>
      <c r="G23" s="10">
        <f t="shared" si="0"/>
        <v>4</v>
      </c>
    </row>
    <row r="24" spans="1:7" s="3" customFormat="1" ht="114.75" x14ac:dyDescent="0.25">
      <c r="A24" s="10" t="s">
        <v>50</v>
      </c>
      <c r="B24" s="10" t="s">
        <v>55</v>
      </c>
      <c r="C24" s="10" t="s">
        <v>56</v>
      </c>
      <c r="D24" s="10">
        <v>2</v>
      </c>
      <c r="E24" s="10">
        <v>3</v>
      </c>
      <c r="F24" s="10" t="s">
        <v>479</v>
      </c>
      <c r="G24" s="10">
        <f t="shared" si="0"/>
        <v>6</v>
      </c>
    </row>
    <row r="25" spans="1:7" s="3" customFormat="1" ht="51" x14ac:dyDescent="0.25">
      <c r="A25" s="10" t="s">
        <v>57</v>
      </c>
      <c r="B25" s="10" t="s">
        <v>58</v>
      </c>
      <c r="C25" s="10" t="s">
        <v>59</v>
      </c>
      <c r="D25" s="10">
        <v>3</v>
      </c>
      <c r="E25" s="13">
        <v>1</v>
      </c>
      <c r="F25" s="13" t="s">
        <v>138</v>
      </c>
      <c r="G25" s="10">
        <f t="shared" si="0"/>
        <v>3</v>
      </c>
    </row>
    <row r="26" spans="1:7" s="3" customFormat="1" ht="51" x14ac:dyDescent="0.25">
      <c r="A26" s="10" t="s">
        <v>57</v>
      </c>
      <c r="B26" s="10" t="s">
        <v>60</v>
      </c>
      <c r="C26" s="10" t="s">
        <v>61</v>
      </c>
      <c r="D26" s="10">
        <v>3</v>
      </c>
      <c r="E26" s="10">
        <v>0</v>
      </c>
      <c r="F26" s="10" t="s">
        <v>86</v>
      </c>
      <c r="G26" s="10">
        <f t="shared" si="0"/>
        <v>0</v>
      </c>
    </row>
    <row r="27" spans="1:7" s="3" customFormat="1" ht="89.25" x14ac:dyDescent="0.25">
      <c r="A27" s="10" t="s">
        <v>57</v>
      </c>
      <c r="B27" s="10" t="s">
        <v>62</v>
      </c>
      <c r="C27" s="10" t="s">
        <v>63</v>
      </c>
      <c r="D27" s="10">
        <v>3</v>
      </c>
      <c r="E27" s="10">
        <v>0</v>
      </c>
      <c r="F27" s="10" t="s">
        <v>136</v>
      </c>
      <c r="G27" s="10">
        <f t="shared" si="0"/>
        <v>0</v>
      </c>
    </row>
    <row r="28" spans="1:7" s="3" customFormat="1" ht="76.5" x14ac:dyDescent="0.25">
      <c r="A28" s="10" t="s">
        <v>57</v>
      </c>
      <c r="B28" s="10" t="s">
        <v>64</v>
      </c>
      <c r="C28" s="10" t="s">
        <v>65</v>
      </c>
      <c r="D28" s="10">
        <v>3</v>
      </c>
      <c r="E28" s="10">
        <v>0</v>
      </c>
      <c r="F28" s="10" t="s">
        <v>135</v>
      </c>
      <c r="G28" s="10">
        <f t="shared" si="0"/>
        <v>0</v>
      </c>
    </row>
    <row r="29" spans="1:7" s="3" customFormat="1" ht="51" x14ac:dyDescent="0.25">
      <c r="A29" s="10" t="s">
        <v>57</v>
      </c>
      <c r="B29" s="10" t="s">
        <v>66</v>
      </c>
      <c r="C29" s="10" t="s">
        <v>68</v>
      </c>
      <c r="D29" s="10">
        <v>3</v>
      </c>
      <c r="E29" s="10">
        <v>0</v>
      </c>
      <c r="F29" s="10" t="s">
        <v>103</v>
      </c>
      <c r="G29" s="10">
        <f t="shared" si="0"/>
        <v>0</v>
      </c>
    </row>
    <row r="30" spans="1:7" s="3" customFormat="1" x14ac:dyDescent="0.25">
      <c r="A30" s="30" t="s">
        <v>67</v>
      </c>
      <c r="B30" s="30"/>
      <c r="C30" s="30"/>
      <c r="D30" s="30"/>
      <c r="E30" s="30"/>
      <c r="F30" s="30"/>
      <c r="G30" s="14">
        <f>SUM(G2:G29)</f>
        <v>135</v>
      </c>
    </row>
    <row r="31" spans="1:7" s="3" customFormat="1" x14ac:dyDescent="0.25">
      <c r="A31" s="30" t="s">
        <v>69</v>
      </c>
      <c r="B31" s="30"/>
      <c r="C31" s="30"/>
      <c r="D31" s="30"/>
      <c r="E31" s="30"/>
      <c r="F31" s="30"/>
      <c r="G31" s="14">
        <f>IF(G30&lt;54,1,IF(G30&lt;108,2,IF(G30&lt;162,3,IF(G30&lt;216,4,5))))</f>
        <v>3</v>
      </c>
    </row>
    <row r="32" spans="1:7" x14ac:dyDescent="0.25">
      <c r="A32" s="31" t="s">
        <v>72</v>
      </c>
      <c r="B32" s="31"/>
      <c r="C32" s="31"/>
      <c r="D32" s="33" t="s">
        <v>104</v>
      </c>
      <c r="E32" s="33"/>
      <c r="F32" s="33"/>
      <c r="G32" s="33"/>
    </row>
    <row r="33" spans="1:7" x14ac:dyDescent="0.25">
      <c r="A33" s="32" t="s">
        <v>73</v>
      </c>
      <c r="B33" s="32"/>
      <c r="C33" s="32"/>
      <c r="D33" s="33" t="s">
        <v>106</v>
      </c>
      <c r="E33" s="33"/>
      <c r="F33" s="33"/>
      <c r="G33" s="33"/>
    </row>
    <row r="34" spans="1:7" x14ac:dyDescent="0.25">
      <c r="A34" s="31" t="s">
        <v>91</v>
      </c>
      <c r="B34" s="31"/>
      <c r="C34" s="31"/>
      <c r="D34" s="33" t="s">
        <v>105</v>
      </c>
      <c r="E34" s="33"/>
      <c r="F34" s="33"/>
      <c r="G34" s="33"/>
    </row>
  </sheetData>
  <mergeCells count="8">
    <mergeCell ref="A30:F30"/>
    <mergeCell ref="A31:F31"/>
    <mergeCell ref="A32:C32"/>
    <mergeCell ref="A33:C33"/>
    <mergeCell ref="A34:C34"/>
    <mergeCell ref="D32:G32"/>
    <mergeCell ref="D33:G33"/>
    <mergeCell ref="D34:G34"/>
  </mergeCells>
  <hyperlinks>
    <hyperlink ref="D32" r:id="rId1" xr:uid="{F3A8B0D7-16A5-4168-893E-863D1E9FFE60}"/>
    <hyperlink ref="D34" r:id="rId2" xr:uid="{9638E7E1-B11C-4564-B6F3-2766ACC3D4DE}"/>
    <hyperlink ref="D33" r:id="rId3" xr:uid="{34DD806D-5832-42A9-BA9F-CBE6A14E56F4}"/>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4"/>
  <sheetViews>
    <sheetView topLeftCell="A19" zoomScale="145" zoomScaleNormal="145" workbookViewId="0">
      <selection activeCell="F23" sqref="F23"/>
    </sheetView>
  </sheetViews>
  <sheetFormatPr defaultRowHeight="15.75" x14ac:dyDescent="0.25"/>
  <cols>
    <col min="1" max="1" width="12" style="4" customWidth="1"/>
    <col min="2" max="2" width="4" style="4" bestFit="1" customWidth="1"/>
    <col min="3" max="3" width="17.7109375" style="4" customWidth="1"/>
    <col min="4" max="4" width="4.7109375" style="4" customWidth="1"/>
    <col min="5" max="5" width="6" style="4" customWidth="1"/>
    <col min="6" max="6" width="96.7109375" style="4" customWidth="1"/>
    <col min="7" max="7" width="7.28515625" style="4" customWidth="1"/>
    <col min="8" max="16384" width="9.140625" style="4"/>
  </cols>
  <sheetData>
    <row r="1" spans="1:8" s="3" customFormat="1" ht="25.5" x14ac:dyDescent="0.25">
      <c r="A1" s="8" t="s">
        <v>0</v>
      </c>
      <c r="B1" s="8" t="s">
        <v>1</v>
      </c>
      <c r="C1" s="8" t="s">
        <v>2</v>
      </c>
      <c r="D1" s="8" t="s">
        <v>3</v>
      </c>
      <c r="E1" s="8" t="s">
        <v>4</v>
      </c>
      <c r="F1" s="8" t="s">
        <v>5</v>
      </c>
      <c r="G1" s="8" t="s">
        <v>6</v>
      </c>
      <c r="H1" s="15"/>
    </row>
    <row r="2" spans="1:8" s="3" customFormat="1" ht="140.25" x14ac:dyDescent="0.25">
      <c r="A2" s="10" t="s">
        <v>7</v>
      </c>
      <c r="B2" s="10" t="s">
        <v>8</v>
      </c>
      <c r="C2" s="10" t="s">
        <v>9</v>
      </c>
      <c r="D2" s="10">
        <v>1</v>
      </c>
      <c r="E2" s="10">
        <v>2</v>
      </c>
      <c r="F2" s="10" t="s">
        <v>182</v>
      </c>
      <c r="G2" s="10">
        <f>E2*D2</f>
        <v>2</v>
      </c>
      <c r="H2" s="15"/>
    </row>
    <row r="3" spans="1:8" s="3" customFormat="1" ht="89.25" x14ac:dyDescent="0.25">
      <c r="A3" s="10" t="s">
        <v>7</v>
      </c>
      <c r="B3" s="10" t="s">
        <v>10</v>
      </c>
      <c r="C3" s="10" t="s">
        <v>11</v>
      </c>
      <c r="D3" s="10">
        <v>1</v>
      </c>
      <c r="E3" s="10">
        <v>0</v>
      </c>
      <c r="F3" s="10" t="s">
        <v>139</v>
      </c>
      <c r="G3" s="10">
        <f t="shared" ref="G3:G29" si="0">E3*D3</f>
        <v>0</v>
      </c>
      <c r="H3" s="15"/>
    </row>
    <row r="4" spans="1:8" s="3" customFormat="1" ht="102" x14ac:dyDescent="0.25">
      <c r="A4" s="10" t="s">
        <v>7</v>
      </c>
      <c r="B4" s="10" t="s">
        <v>12</v>
      </c>
      <c r="C4" s="10" t="s">
        <v>13</v>
      </c>
      <c r="D4" s="10">
        <v>1</v>
      </c>
      <c r="E4" s="10">
        <v>2</v>
      </c>
      <c r="F4" s="10" t="s">
        <v>489</v>
      </c>
      <c r="G4" s="10">
        <f t="shared" si="0"/>
        <v>2</v>
      </c>
      <c r="H4" s="15"/>
    </row>
    <row r="5" spans="1:8" s="3" customFormat="1" ht="102" x14ac:dyDescent="0.25">
      <c r="A5" s="10" t="s">
        <v>7</v>
      </c>
      <c r="B5" s="10" t="s">
        <v>14</v>
      </c>
      <c r="C5" s="10" t="s">
        <v>15</v>
      </c>
      <c r="D5" s="10">
        <v>1</v>
      </c>
      <c r="E5" s="10">
        <v>5</v>
      </c>
      <c r="F5" s="10" t="s">
        <v>140</v>
      </c>
      <c r="G5" s="10">
        <f t="shared" si="0"/>
        <v>5</v>
      </c>
      <c r="H5" s="15"/>
    </row>
    <row r="6" spans="1:8" s="3" customFormat="1" ht="51" x14ac:dyDescent="0.25">
      <c r="A6" s="10" t="s">
        <v>7</v>
      </c>
      <c r="B6" s="10" t="s">
        <v>16</v>
      </c>
      <c r="C6" s="10" t="s">
        <v>17</v>
      </c>
      <c r="D6" s="10">
        <v>1</v>
      </c>
      <c r="E6" s="10">
        <v>2</v>
      </c>
      <c r="F6" s="10" t="s">
        <v>560</v>
      </c>
      <c r="G6" s="10">
        <f t="shared" si="0"/>
        <v>2</v>
      </c>
      <c r="H6" s="15"/>
    </row>
    <row r="7" spans="1:8" s="3" customFormat="1" ht="76.5" x14ac:dyDescent="0.25">
      <c r="A7" s="10" t="s">
        <v>7</v>
      </c>
      <c r="B7" s="10" t="s">
        <v>18</v>
      </c>
      <c r="C7" s="10" t="s">
        <v>19</v>
      </c>
      <c r="D7" s="10">
        <v>1</v>
      </c>
      <c r="E7" s="10">
        <v>5</v>
      </c>
      <c r="F7" s="10" t="s">
        <v>144</v>
      </c>
      <c r="G7" s="10">
        <f t="shared" si="0"/>
        <v>5</v>
      </c>
      <c r="H7" s="15"/>
    </row>
    <row r="8" spans="1:8" s="3" customFormat="1" ht="102" x14ac:dyDescent="0.25">
      <c r="A8" s="10" t="s">
        <v>7</v>
      </c>
      <c r="B8" s="10" t="s">
        <v>20</v>
      </c>
      <c r="C8" s="10" t="s">
        <v>21</v>
      </c>
      <c r="D8" s="10">
        <v>1</v>
      </c>
      <c r="E8" s="10">
        <v>2</v>
      </c>
      <c r="F8" s="10" t="s">
        <v>240</v>
      </c>
      <c r="G8" s="10">
        <f t="shared" si="0"/>
        <v>2</v>
      </c>
      <c r="H8" s="15"/>
    </row>
    <row r="9" spans="1:8" s="3" customFormat="1" ht="89.25" x14ac:dyDescent="0.25">
      <c r="A9" s="10" t="s">
        <v>7</v>
      </c>
      <c r="B9" s="10" t="s">
        <v>22</v>
      </c>
      <c r="C9" s="10" t="s">
        <v>23</v>
      </c>
      <c r="D9" s="10">
        <v>1</v>
      </c>
      <c r="E9" s="10">
        <v>5</v>
      </c>
      <c r="F9" s="10" t="s">
        <v>145</v>
      </c>
      <c r="G9" s="10">
        <f t="shared" si="0"/>
        <v>5</v>
      </c>
      <c r="H9" s="15"/>
    </row>
    <row r="10" spans="1:8" s="3" customFormat="1" ht="165.75" x14ac:dyDescent="0.25">
      <c r="A10" s="10" t="s">
        <v>7</v>
      </c>
      <c r="B10" s="10" t="s">
        <v>24</v>
      </c>
      <c r="C10" s="10" t="s">
        <v>25</v>
      </c>
      <c r="D10" s="10">
        <v>1</v>
      </c>
      <c r="E10" s="12">
        <v>2</v>
      </c>
      <c r="F10" s="10" t="s">
        <v>242</v>
      </c>
      <c r="G10" s="10">
        <f t="shared" si="0"/>
        <v>2</v>
      </c>
      <c r="H10" s="15"/>
    </row>
    <row r="11" spans="1:8" s="3" customFormat="1" ht="63.75" x14ac:dyDescent="0.25">
      <c r="A11" s="10" t="s">
        <v>7</v>
      </c>
      <c r="B11" s="10" t="s">
        <v>26</v>
      </c>
      <c r="C11" s="10" t="s">
        <v>27</v>
      </c>
      <c r="D11" s="10">
        <v>1</v>
      </c>
      <c r="E11" s="12">
        <v>0</v>
      </c>
      <c r="F11" s="10" t="s">
        <v>473</v>
      </c>
      <c r="G11" s="10">
        <f t="shared" si="0"/>
        <v>0</v>
      </c>
      <c r="H11" s="15"/>
    </row>
    <row r="12" spans="1:8" s="3" customFormat="1" ht="76.5" x14ac:dyDescent="0.25">
      <c r="A12" s="10" t="s">
        <v>28</v>
      </c>
      <c r="B12" s="10" t="s">
        <v>29</v>
      </c>
      <c r="C12" s="10" t="s">
        <v>30</v>
      </c>
      <c r="D12" s="10">
        <v>3</v>
      </c>
      <c r="E12" s="16">
        <v>5</v>
      </c>
      <c r="F12" s="10" t="s">
        <v>164</v>
      </c>
      <c r="G12" s="10">
        <f t="shared" si="0"/>
        <v>15</v>
      </c>
      <c r="H12" s="15"/>
    </row>
    <row r="13" spans="1:8" s="3" customFormat="1" ht="89.25" x14ac:dyDescent="0.25">
      <c r="A13" s="10" t="s">
        <v>28</v>
      </c>
      <c r="B13" s="10" t="s">
        <v>31</v>
      </c>
      <c r="C13" s="10" t="s">
        <v>32</v>
      </c>
      <c r="D13" s="10">
        <v>3</v>
      </c>
      <c r="E13" s="10">
        <v>4</v>
      </c>
      <c r="F13" s="10" t="s">
        <v>127</v>
      </c>
      <c r="G13" s="10">
        <f t="shared" si="0"/>
        <v>12</v>
      </c>
      <c r="H13" s="15"/>
    </row>
    <row r="14" spans="1:8" s="3" customFormat="1" ht="63.75" x14ac:dyDescent="0.25">
      <c r="A14" s="10" t="s">
        <v>28</v>
      </c>
      <c r="B14" s="10" t="s">
        <v>33</v>
      </c>
      <c r="C14" s="10" t="s">
        <v>34</v>
      </c>
      <c r="D14" s="10">
        <v>3</v>
      </c>
      <c r="E14" s="10">
        <v>2</v>
      </c>
      <c r="F14" s="10" t="s">
        <v>113</v>
      </c>
      <c r="G14" s="10">
        <f t="shared" si="0"/>
        <v>6</v>
      </c>
      <c r="H14" s="15"/>
    </row>
    <row r="15" spans="1:8" s="3" customFormat="1" ht="76.5" x14ac:dyDescent="0.25">
      <c r="A15" s="10" t="s">
        <v>35</v>
      </c>
      <c r="B15" s="10" t="s">
        <v>36</v>
      </c>
      <c r="C15" s="10" t="s">
        <v>37</v>
      </c>
      <c r="D15" s="10">
        <v>2</v>
      </c>
      <c r="E15" s="10">
        <v>4</v>
      </c>
      <c r="F15" s="10" t="s">
        <v>543</v>
      </c>
      <c r="G15" s="10">
        <f t="shared" si="0"/>
        <v>8</v>
      </c>
      <c r="H15" s="15"/>
    </row>
    <row r="16" spans="1:8" s="3" customFormat="1" ht="114.75" x14ac:dyDescent="0.25">
      <c r="A16" s="10" t="s">
        <v>35</v>
      </c>
      <c r="B16" s="10" t="s">
        <v>38</v>
      </c>
      <c r="C16" s="10" t="s">
        <v>39</v>
      </c>
      <c r="D16" s="10">
        <v>2</v>
      </c>
      <c r="E16" s="10">
        <v>0</v>
      </c>
      <c r="F16" s="10" t="s">
        <v>525</v>
      </c>
      <c r="G16" s="10">
        <f t="shared" si="0"/>
        <v>0</v>
      </c>
      <c r="H16" s="15"/>
    </row>
    <row r="17" spans="1:8" s="3" customFormat="1" ht="51" x14ac:dyDescent="0.25">
      <c r="A17" s="10" t="s">
        <v>35</v>
      </c>
      <c r="B17" s="10" t="s">
        <v>40</v>
      </c>
      <c r="C17" s="10" t="s">
        <v>41</v>
      </c>
      <c r="D17" s="10">
        <v>2</v>
      </c>
      <c r="E17" s="10">
        <v>3</v>
      </c>
      <c r="F17" s="10" t="s">
        <v>565</v>
      </c>
      <c r="G17" s="10">
        <f t="shared" si="0"/>
        <v>6</v>
      </c>
      <c r="H17" s="15"/>
    </row>
    <row r="18" spans="1:8" s="3" customFormat="1" ht="114.75" x14ac:dyDescent="0.25">
      <c r="A18" s="10" t="s">
        <v>35</v>
      </c>
      <c r="B18" s="10" t="s">
        <v>42</v>
      </c>
      <c r="C18" s="10" t="s">
        <v>43</v>
      </c>
      <c r="D18" s="10">
        <v>2</v>
      </c>
      <c r="E18" s="10">
        <v>4</v>
      </c>
      <c r="F18" s="10" t="s">
        <v>130</v>
      </c>
      <c r="G18" s="10">
        <f t="shared" si="0"/>
        <v>8</v>
      </c>
      <c r="H18" s="15"/>
    </row>
    <row r="19" spans="1:8" s="3" customFormat="1" ht="76.5" x14ac:dyDescent="0.25">
      <c r="A19" s="10" t="s">
        <v>35</v>
      </c>
      <c r="B19" s="10" t="s">
        <v>44</v>
      </c>
      <c r="C19" s="10" t="s">
        <v>45</v>
      </c>
      <c r="D19" s="10">
        <v>2</v>
      </c>
      <c r="E19" s="10">
        <v>0</v>
      </c>
      <c r="F19" s="10" t="s">
        <v>146</v>
      </c>
      <c r="G19" s="10">
        <f t="shared" si="0"/>
        <v>0</v>
      </c>
      <c r="H19" s="15"/>
    </row>
    <row r="20" spans="1:8" s="3" customFormat="1" ht="89.25" x14ac:dyDescent="0.25">
      <c r="A20" s="10" t="s">
        <v>35</v>
      </c>
      <c r="B20" s="10" t="s">
        <v>46</v>
      </c>
      <c r="C20" s="10" t="s">
        <v>47</v>
      </c>
      <c r="D20" s="10">
        <v>2</v>
      </c>
      <c r="E20" s="10">
        <v>2</v>
      </c>
      <c r="F20" s="10" t="s">
        <v>147</v>
      </c>
      <c r="G20" s="10">
        <f t="shared" si="0"/>
        <v>4</v>
      </c>
      <c r="H20" s="15"/>
    </row>
    <row r="21" spans="1:8" s="3" customFormat="1" ht="63.75" x14ac:dyDescent="0.25">
      <c r="A21" s="10" t="s">
        <v>35</v>
      </c>
      <c r="B21" s="10" t="s">
        <v>48</v>
      </c>
      <c r="C21" s="10" t="s">
        <v>49</v>
      </c>
      <c r="D21" s="10">
        <v>2</v>
      </c>
      <c r="E21" s="10">
        <v>5</v>
      </c>
      <c r="F21" s="10" t="s">
        <v>490</v>
      </c>
      <c r="G21" s="10">
        <f t="shared" si="0"/>
        <v>10</v>
      </c>
      <c r="H21" s="15"/>
    </row>
    <row r="22" spans="1:8" s="3" customFormat="1" ht="102" x14ac:dyDescent="0.25">
      <c r="A22" s="10" t="s">
        <v>50</v>
      </c>
      <c r="B22" s="10" t="s">
        <v>51</v>
      </c>
      <c r="C22" s="10" t="s">
        <v>52</v>
      </c>
      <c r="D22" s="10">
        <v>2</v>
      </c>
      <c r="E22" s="10">
        <v>1</v>
      </c>
      <c r="F22" s="10" t="s">
        <v>148</v>
      </c>
      <c r="G22" s="10">
        <f t="shared" si="0"/>
        <v>2</v>
      </c>
      <c r="H22" s="15"/>
    </row>
    <row r="23" spans="1:8" s="3" customFormat="1" ht="89.25" x14ac:dyDescent="0.25">
      <c r="A23" s="10" t="s">
        <v>50</v>
      </c>
      <c r="B23" s="10" t="s">
        <v>53</v>
      </c>
      <c r="C23" s="10" t="s">
        <v>54</v>
      </c>
      <c r="D23" s="10">
        <v>2</v>
      </c>
      <c r="E23" s="10">
        <v>2</v>
      </c>
      <c r="F23" s="10" t="s">
        <v>572</v>
      </c>
      <c r="G23" s="10">
        <f t="shared" si="0"/>
        <v>4</v>
      </c>
      <c r="H23" s="15"/>
    </row>
    <row r="24" spans="1:8" s="3" customFormat="1" ht="153" x14ac:dyDescent="0.25">
      <c r="A24" s="10" t="s">
        <v>50</v>
      </c>
      <c r="B24" s="10" t="s">
        <v>55</v>
      </c>
      <c r="C24" s="10" t="s">
        <v>56</v>
      </c>
      <c r="D24" s="10">
        <v>2</v>
      </c>
      <c r="E24" s="10">
        <v>3</v>
      </c>
      <c r="F24" s="10" t="s">
        <v>479</v>
      </c>
      <c r="G24" s="10">
        <f t="shared" si="0"/>
        <v>6</v>
      </c>
      <c r="H24" s="15"/>
    </row>
    <row r="25" spans="1:8" s="3" customFormat="1" ht="38.25" x14ac:dyDescent="0.25">
      <c r="A25" s="10" t="s">
        <v>57</v>
      </c>
      <c r="B25" s="10" t="s">
        <v>58</v>
      </c>
      <c r="C25" s="10" t="s">
        <v>59</v>
      </c>
      <c r="D25" s="10">
        <v>3</v>
      </c>
      <c r="E25" s="13">
        <v>1</v>
      </c>
      <c r="F25" s="13" t="s">
        <v>138</v>
      </c>
      <c r="G25" s="10">
        <f t="shared" si="0"/>
        <v>3</v>
      </c>
      <c r="H25" s="15"/>
    </row>
    <row r="26" spans="1:8" s="3" customFormat="1" ht="89.25" x14ac:dyDescent="0.25">
      <c r="A26" s="10" t="s">
        <v>57</v>
      </c>
      <c r="B26" s="10" t="s">
        <v>60</v>
      </c>
      <c r="C26" s="10" t="s">
        <v>61</v>
      </c>
      <c r="D26" s="10">
        <v>3</v>
      </c>
      <c r="E26" s="10">
        <v>0</v>
      </c>
      <c r="F26" s="10" t="s">
        <v>491</v>
      </c>
      <c r="G26" s="10">
        <f t="shared" si="0"/>
        <v>0</v>
      </c>
      <c r="H26" s="15"/>
    </row>
    <row r="27" spans="1:8" s="3" customFormat="1" ht="89.25" x14ac:dyDescent="0.25">
      <c r="A27" s="10" t="s">
        <v>57</v>
      </c>
      <c r="B27" s="10" t="s">
        <v>62</v>
      </c>
      <c r="C27" s="10" t="s">
        <v>63</v>
      </c>
      <c r="D27" s="10">
        <v>3</v>
      </c>
      <c r="E27" s="10">
        <v>0</v>
      </c>
      <c r="F27" s="10" t="s">
        <v>152</v>
      </c>
      <c r="G27" s="10">
        <f t="shared" si="0"/>
        <v>0</v>
      </c>
      <c r="H27" s="15"/>
    </row>
    <row r="28" spans="1:8" s="3" customFormat="1" ht="114.75" x14ac:dyDescent="0.25">
      <c r="A28" s="10" t="s">
        <v>57</v>
      </c>
      <c r="B28" s="10" t="s">
        <v>64</v>
      </c>
      <c r="C28" s="10" t="s">
        <v>65</v>
      </c>
      <c r="D28" s="10">
        <v>3</v>
      </c>
      <c r="E28" s="10">
        <v>0</v>
      </c>
      <c r="F28" s="10" t="s">
        <v>153</v>
      </c>
      <c r="G28" s="10">
        <f t="shared" si="0"/>
        <v>0</v>
      </c>
      <c r="H28" s="15"/>
    </row>
    <row r="29" spans="1:8" s="3" customFormat="1" ht="114.75" x14ac:dyDescent="0.25">
      <c r="A29" s="10" t="s">
        <v>57</v>
      </c>
      <c r="B29" s="10" t="s">
        <v>66</v>
      </c>
      <c r="C29" s="10" t="s">
        <v>68</v>
      </c>
      <c r="D29" s="10">
        <v>3</v>
      </c>
      <c r="E29" s="10">
        <v>0</v>
      </c>
      <c r="F29" s="10" t="s">
        <v>492</v>
      </c>
      <c r="G29" s="10">
        <f t="shared" si="0"/>
        <v>0</v>
      </c>
      <c r="H29" s="15"/>
    </row>
    <row r="30" spans="1:8" s="3" customFormat="1" x14ac:dyDescent="0.25">
      <c r="A30" s="28" t="s">
        <v>67</v>
      </c>
      <c r="B30" s="28"/>
      <c r="C30" s="28"/>
      <c r="D30" s="28"/>
      <c r="E30" s="28"/>
      <c r="F30" s="28"/>
      <c r="G30" s="10">
        <f>SUM(G2:G29)</f>
        <v>109</v>
      </c>
      <c r="H30" s="15"/>
    </row>
    <row r="31" spans="1:8" s="3" customFormat="1" x14ac:dyDescent="0.25">
      <c r="A31" s="28" t="s">
        <v>69</v>
      </c>
      <c r="B31" s="28"/>
      <c r="C31" s="28"/>
      <c r="D31" s="28"/>
      <c r="E31" s="28"/>
      <c r="F31" s="28"/>
      <c r="G31" s="10">
        <f>IF(G30&lt;54,1,IF(G30&lt;108,2,IF(G30&lt;162,3,IF(G30&lt;216,4,5))))</f>
        <v>3</v>
      </c>
      <c r="H31" s="15"/>
    </row>
    <row r="32" spans="1:8" x14ac:dyDescent="0.25">
      <c r="A32" s="34" t="s">
        <v>72</v>
      </c>
      <c r="B32" s="34"/>
      <c r="C32" s="34"/>
      <c r="D32" s="36" t="s">
        <v>142</v>
      </c>
      <c r="E32" s="34"/>
      <c r="F32" s="34"/>
      <c r="G32" s="34"/>
      <c r="H32" s="16"/>
    </row>
    <row r="33" spans="1:8" x14ac:dyDescent="0.25">
      <c r="A33" s="35" t="s">
        <v>73</v>
      </c>
      <c r="B33" s="35"/>
      <c r="C33" s="35"/>
      <c r="D33" s="36" t="s">
        <v>474</v>
      </c>
      <c r="E33" s="34"/>
      <c r="F33" s="34"/>
      <c r="G33" s="34"/>
      <c r="H33" s="16"/>
    </row>
    <row r="34" spans="1:8" x14ac:dyDescent="0.25">
      <c r="A34" s="34" t="s">
        <v>91</v>
      </c>
      <c r="B34" s="34"/>
      <c r="C34" s="34"/>
      <c r="D34" s="36" t="s">
        <v>143</v>
      </c>
      <c r="E34" s="34"/>
      <c r="F34" s="34"/>
      <c r="G34" s="34"/>
      <c r="H34" s="16"/>
    </row>
  </sheetData>
  <mergeCells count="8">
    <mergeCell ref="A30:F30"/>
    <mergeCell ref="A31:F31"/>
    <mergeCell ref="A32:C32"/>
    <mergeCell ref="A33:C33"/>
    <mergeCell ref="A34:C34"/>
    <mergeCell ref="D32:G32"/>
    <mergeCell ref="D33:G33"/>
    <mergeCell ref="D34:G34"/>
  </mergeCells>
  <hyperlinks>
    <hyperlink ref="D32" r:id="rId1" xr:uid="{CDD542DD-4412-4B4B-968D-B6835661FD4B}"/>
    <hyperlink ref="D33" r:id="rId2" xr:uid="{E67A23A6-CB27-4D65-AE53-7BCC2EBC22FD}"/>
    <hyperlink ref="D34" r:id="rId3" xr:uid="{957BDAB8-2598-4F9F-AA41-6F16B4FFA958}"/>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4"/>
  <sheetViews>
    <sheetView topLeftCell="A19" zoomScale="130" zoomScaleNormal="130" workbookViewId="0">
      <selection activeCell="F23" sqref="F23"/>
    </sheetView>
  </sheetViews>
  <sheetFormatPr defaultRowHeight="15.75" x14ac:dyDescent="0.25"/>
  <cols>
    <col min="1" max="1" width="12.7109375" style="3" bestFit="1" customWidth="1"/>
    <col min="2" max="2" width="4" style="3" bestFit="1" customWidth="1"/>
    <col min="3" max="3" width="22.42578125" style="3" customWidth="1"/>
    <col min="4" max="4" width="4.7109375" style="3" bestFit="1" customWidth="1"/>
    <col min="5" max="5" width="6" style="3" customWidth="1"/>
    <col min="6" max="6" width="92.5703125" style="3" customWidth="1"/>
    <col min="7" max="7" width="5" style="3" bestFit="1" customWidth="1"/>
    <col min="8" max="16384" width="9.140625" style="3"/>
  </cols>
  <sheetData>
    <row r="1" spans="1:7" ht="25.5" x14ac:dyDescent="0.25">
      <c r="A1" s="8" t="s">
        <v>0</v>
      </c>
      <c r="B1" s="8" t="s">
        <v>1</v>
      </c>
      <c r="C1" s="8" t="s">
        <v>2</v>
      </c>
      <c r="D1" s="8" t="s">
        <v>3</v>
      </c>
      <c r="E1" s="8" t="s">
        <v>4</v>
      </c>
      <c r="F1" s="8" t="s">
        <v>5</v>
      </c>
      <c r="G1" s="8" t="s">
        <v>6</v>
      </c>
    </row>
    <row r="2" spans="1:7" ht="102" x14ac:dyDescent="0.25">
      <c r="A2" s="10" t="s">
        <v>7</v>
      </c>
      <c r="B2" s="10" t="s">
        <v>8</v>
      </c>
      <c r="C2" s="10" t="s">
        <v>9</v>
      </c>
      <c r="D2" s="10">
        <v>1</v>
      </c>
      <c r="E2" s="10">
        <v>0</v>
      </c>
      <c r="F2" s="10" t="s">
        <v>183</v>
      </c>
      <c r="G2" s="10">
        <f>E2*D2</f>
        <v>0</v>
      </c>
    </row>
    <row r="3" spans="1:7" ht="114.75" x14ac:dyDescent="0.25">
      <c r="A3" s="10" t="s">
        <v>7</v>
      </c>
      <c r="B3" s="10" t="s">
        <v>10</v>
      </c>
      <c r="C3" s="10" t="s">
        <v>11</v>
      </c>
      <c r="D3" s="10">
        <v>1</v>
      </c>
      <c r="E3" s="10">
        <v>5</v>
      </c>
      <c r="F3" s="10" t="s">
        <v>154</v>
      </c>
      <c r="G3" s="10">
        <f t="shared" ref="G3:G29" si="0">E3*D3</f>
        <v>5</v>
      </c>
    </row>
    <row r="4" spans="1:7" ht="102" x14ac:dyDescent="0.25">
      <c r="A4" s="10" t="s">
        <v>7</v>
      </c>
      <c r="B4" s="10" t="s">
        <v>12</v>
      </c>
      <c r="C4" s="10" t="s">
        <v>13</v>
      </c>
      <c r="D4" s="10">
        <v>1</v>
      </c>
      <c r="E4" s="10">
        <v>0</v>
      </c>
      <c r="F4" s="10" t="s">
        <v>155</v>
      </c>
      <c r="G4" s="10">
        <f t="shared" si="0"/>
        <v>0</v>
      </c>
    </row>
    <row r="5" spans="1:7" ht="51" x14ac:dyDescent="0.25">
      <c r="A5" s="10" t="s">
        <v>7</v>
      </c>
      <c r="B5" s="10" t="s">
        <v>14</v>
      </c>
      <c r="C5" s="10" t="s">
        <v>15</v>
      </c>
      <c r="D5" s="10">
        <v>1</v>
      </c>
      <c r="E5" s="10">
        <v>5</v>
      </c>
      <c r="F5" s="10" t="s">
        <v>156</v>
      </c>
      <c r="G5" s="10">
        <f t="shared" si="0"/>
        <v>5</v>
      </c>
    </row>
    <row r="6" spans="1:7" ht="63.75" x14ac:dyDescent="0.25">
      <c r="A6" s="10" t="s">
        <v>7</v>
      </c>
      <c r="B6" s="10" t="s">
        <v>16</v>
      </c>
      <c r="C6" s="10" t="s">
        <v>17</v>
      </c>
      <c r="D6" s="10">
        <v>1</v>
      </c>
      <c r="E6" s="10">
        <v>2</v>
      </c>
      <c r="F6" s="10" t="s">
        <v>561</v>
      </c>
      <c r="G6" s="10">
        <f t="shared" si="0"/>
        <v>2</v>
      </c>
    </row>
    <row r="7" spans="1:7" ht="89.25" x14ac:dyDescent="0.25">
      <c r="A7" s="10" t="s">
        <v>7</v>
      </c>
      <c r="B7" s="10" t="s">
        <v>18</v>
      </c>
      <c r="C7" s="10" t="s">
        <v>19</v>
      </c>
      <c r="D7" s="10">
        <v>1</v>
      </c>
      <c r="E7" s="10">
        <v>5</v>
      </c>
      <c r="F7" s="10" t="s">
        <v>157</v>
      </c>
      <c r="G7" s="10">
        <f t="shared" si="0"/>
        <v>5</v>
      </c>
    </row>
    <row r="8" spans="1:7" ht="102" x14ac:dyDescent="0.25">
      <c r="A8" s="10" t="s">
        <v>7</v>
      </c>
      <c r="B8" s="10" t="s">
        <v>20</v>
      </c>
      <c r="C8" s="10" t="s">
        <v>21</v>
      </c>
      <c r="D8" s="10">
        <v>1</v>
      </c>
      <c r="E8" s="10">
        <v>2</v>
      </c>
      <c r="F8" s="10" t="s">
        <v>522</v>
      </c>
      <c r="G8" s="10">
        <f t="shared" si="0"/>
        <v>2</v>
      </c>
    </row>
    <row r="9" spans="1:7" ht="89.25" x14ac:dyDescent="0.25">
      <c r="A9" s="10" t="s">
        <v>7</v>
      </c>
      <c r="B9" s="10" t="s">
        <v>22</v>
      </c>
      <c r="C9" s="10" t="s">
        <v>23</v>
      </c>
      <c r="D9" s="10">
        <v>1</v>
      </c>
      <c r="E9" s="10">
        <v>5</v>
      </c>
      <c r="F9" s="10" t="s">
        <v>158</v>
      </c>
      <c r="G9" s="10">
        <f t="shared" si="0"/>
        <v>5</v>
      </c>
    </row>
    <row r="10" spans="1:7" ht="178.5" x14ac:dyDescent="0.25">
      <c r="A10" s="10" t="s">
        <v>7</v>
      </c>
      <c r="B10" s="10" t="s">
        <v>24</v>
      </c>
      <c r="C10" s="10" t="s">
        <v>25</v>
      </c>
      <c r="D10" s="10">
        <v>1</v>
      </c>
      <c r="E10" s="12">
        <v>2</v>
      </c>
      <c r="F10" s="10" t="s">
        <v>241</v>
      </c>
      <c r="G10" s="10">
        <f t="shared" si="0"/>
        <v>2</v>
      </c>
    </row>
    <row r="11" spans="1:7" ht="63.75"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165</v>
      </c>
      <c r="G12" s="10">
        <f t="shared" si="0"/>
        <v>15</v>
      </c>
    </row>
    <row r="13" spans="1:7" ht="89.2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4</v>
      </c>
      <c r="F15" s="10" t="s">
        <v>544</v>
      </c>
      <c r="G15" s="10">
        <f t="shared" si="0"/>
        <v>8</v>
      </c>
    </row>
    <row r="16" spans="1:7" ht="89.25" x14ac:dyDescent="0.25">
      <c r="A16" s="10" t="s">
        <v>35</v>
      </c>
      <c r="B16" s="10" t="s">
        <v>38</v>
      </c>
      <c r="C16" s="10" t="s">
        <v>39</v>
      </c>
      <c r="D16" s="10">
        <v>2</v>
      </c>
      <c r="E16" s="10">
        <v>0</v>
      </c>
      <c r="F16" s="10" t="s">
        <v>526</v>
      </c>
      <c r="G16" s="10">
        <f t="shared" si="0"/>
        <v>0</v>
      </c>
    </row>
    <row r="17" spans="1:7" ht="51" x14ac:dyDescent="0.25">
      <c r="A17" s="10" t="s">
        <v>35</v>
      </c>
      <c r="B17" s="10" t="s">
        <v>40</v>
      </c>
      <c r="C17" s="10" t="s">
        <v>41</v>
      </c>
      <c r="D17" s="10">
        <v>2</v>
      </c>
      <c r="E17" s="10">
        <v>3</v>
      </c>
      <c r="F17" s="10" t="s">
        <v>566</v>
      </c>
      <c r="G17" s="10">
        <f t="shared" si="0"/>
        <v>6</v>
      </c>
    </row>
    <row r="18" spans="1:7" ht="114.75" x14ac:dyDescent="0.25">
      <c r="A18" s="10" t="s">
        <v>35</v>
      </c>
      <c r="B18" s="10" t="s">
        <v>42</v>
      </c>
      <c r="C18" s="10" t="s">
        <v>43</v>
      </c>
      <c r="D18" s="10">
        <v>2</v>
      </c>
      <c r="E18" s="10">
        <v>4</v>
      </c>
      <c r="F18" s="10" t="s">
        <v>130</v>
      </c>
      <c r="G18" s="10">
        <f t="shared" si="0"/>
        <v>8</v>
      </c>
    </row>
    <row r="19" spans="1:7" ht="63.75" x14ac:dyDescent="0.25">
      <c r="A19" s="10" t="s">
        <v>35</v>
      </c>
      <c r="B19" s="10" t="s">
        <v>44</v>
      </c>
      <c r="C19" s="10" t="s">
        <v>45</v>
      </c>
      <c r="D19" s="10">
        <v>2</v>
      </c>
      <c r="E19" s="10">
        <v>0</v>
      </c>
      <c r="F19" s="10" t="s">
        <v>493</v>
      </c>
      <c r="G19" s="10">
        <f t="shared" si="0"/>
        <v>0</v>
      </c>
    </row>
    <row r="20" spans="1:7" ht="102" x14ac:dyDescent="0.25">
      <c r="A20" s="10" t="s">
        <v>35</v>
      </c>
      <c r="B20" s="10" t="s">
        <v>46</v>
      </c>
      <c r="C20" s="10" t="s">
        <v>47</v>
      </c>
      <c r="D20" s="10">
        <v>2</v>
      </c>
      <c r="E20" s="10">
        <v>2</v>
      </c>
      <c r="F20" s="10" t="s">
        <v>494</v>
      </c>
      <c r="G20" s="10">
        <f t="shared" si="0"/>
        <v>4</v>
      </c>
    </row>
    <row r="21" spans="1:7" ht="89.25" x14ac:dyDescent="0.25">
      <c r="A21" s="10" t="s">
        <v>35</v>
      </c>
      <c r="B21" s="10" t="s">
        <v>48</v>
      </c>
      <c r="C21" s="10" t="s">
        <v>49</v>
      </c>
      <c r="D21" s="10">
        <v>2</v>
      </c>
      <c r="E21" s="10">
        <v>5</v>
      </c>
      <c r="F21" s="10" t="s">
        <v>184</v>
      </c>
      <c r="G21" s="10">
        <f t="shared" si="0"/>
        <v>10</v>
      </c>
    </row>
    <row r="22" spans="1:7" ht="102" x14ac:dyDescent="0.25">
      <c r="A22" s="10" t="s">
        <v>50</v>
      </c>
      <c r="B22" s="10" t="s">
        <v>51</v>
      </c>
      <c r="C22" s="10" t="s">
        <v>52</v>
      </c>
      <c r="D22" s="10">
        <v>2</v>
      </c>
      <c r="E22" s="10">
        <v>1</v>
      </c>
      <c r="F22" s="10" t="s">
        <v>495</v>
      </c>
      <c r="G22" s="10">
        <f t="shared" si="0"/>
        <v>2</v>
      </c>
    </row>
    <row r="23" spans="1:7" ht="114.75" x14ac:dyDescent="0.25">
      <c r="A23" s="10" t="s">
        <v>50</v>
      </c>
      <c r="B23" s="10" t="s">
        <v>53</v>
      </c>
      <c r="C23" s="10" t="s">
        <v>54</v>
      </c>
      <c r="D23" s="10">
        <v>2</v>
      </c>
      <c r="E23" s="10">
        <v>2</v>
      </c>
      <c r="F23" s="10" t="s">
        <v>485</v>
      </c>
      <c r="G23" s="10">
        <f t="shared" si="0"/>
        <v>4</v>
      </c>
    </row>
    <row r="24" spans="1:7" ht="153"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89.25" x14ac:dyDescent="0.25">
      <c r="A26" s="10" t="s">
        <v>57</v>
      </c>
      <c r="B26" s="10" t="s">
        <v>60</v>
      </c>
      <c r="C26" s="10" t="s">
        <v>61</v>
      </c>
      <c r="D26" s="10">
        <v>3</v>
      </c>
      <c r="E26" s="10">
        <v>0</v>
      </c>
      <c r="F26" s="10" t="s">
        <v>149</v>
      </c>
      <c r="G26" s="10">
        <f t="shared" si="0"/>
        <v>0</v>
      </c>
    </row>
    <row r="27" spans="1:7" ht="102" x14ac:dyDescent="0.25">
      <c r="A27" s="10" t="s">
        <v>57</v>
      </c>
      <c r="B27" s="10" t="s">
        <v>62</v>
      </c>
      <c r="C27" s="10" t="s">
        <v>63</v>
      </c>
      <c r="D27" s="10">
        <v>3</v>
      </c>
      <c r="E27" s="10">
        <v>0</v>
      </c>
      <c r="F27" s="10" t="s">
        <v>150</v>
      </c>
      <c r="G27" s="10">
        <f t="shared" si="0"/>
        <v>0</v>
      </c>
    </row>
    <row r="28" spans="1:7" ht="102" x14ac:dyDescent="0.25">
      <c r="A28" s="10" t="s">
        <v>57</v>
      </c>
      <c r="B28" s="10" t="s">
        <v>64</v>
      </c>
      <c r="C28" s="10" t="s">
        <v>65</v>
      </c>
      <c r="D28" s="10">
        <v>3</v>
      </c>
      <c r="E28" s="10">
        <v>0</v>
      </c>
      <c r="F28" s="10" t="s">
        <v>371</v>
      </c>
      <c r="G28" s="10">
        <f t="shared" si="0"/>
        <v>0</v>
      </c>
    </row>
    <row r="29" spans="1:7" ht="76.5" x14ac:dyDescent="0.25">
      <c r="A29" s="10" t="s">
        <v>57</v>
      </c>
      <c r="B29" s="10" t="s">
        <v>66</v>
      </c>
      <c r="C29" s="10" t="s">
        <v>68</v>
      </c>
      <c r="D29" s="10">
        <v>3</v>
      </c>
      <c r="E29" s="10">
        <v>0</v>
      </c>
      <c r="F29" s="10" t="s">
        <v>151</v>
      </c>
      <c r="G29" s="10">
        <f t="shared" si="0"/>
        <v>0</v>
      </c>
    </row>
    <row r="30" spans="1:7" x14ac:dyDescent="0.25">
      <c r="A30" s="37" t="s">
        <v>67</v>
      </c>
      <c r="B30" s="37"/>
      <c r="C30" s="37"/>
      <c r="D30" s="37"/>
      <c r="E30" s="37"/>
      <c r="F30" s="37"/>
      <c r="G30" s="10">
        <f>SUM(G2:G29)</f>
        <v>110</v>
      </c>
    </row>
    <row r="31" spans="1:7" x14ac:dyDescent="0.25">
      <c r="A31" s="37" t="s">
        <v>69</v>
      </c>
      <c r="B31" s="37"/>
      <c r="C31" s="37"/>
      <c r="D31" s="37"/>
      <c r="E31" s="37"/>
      <c r="F31" s="37"/>
      <c r="G31" s="10">
        <f>IF(G30&lt;54,1,IF(G30&lt;108,2,IF(G30&lt;162,3,IF(G30&lt;216,4,5))))</f>
        <v>3</v>
      </c>
    </row>
    <row r="32" spans="1:7" x14ac:dyDescent="0.25">
      <c r="A32" s="35" t="s">
        <v>72</v>
      </c>
      <c r="B32" s="35"/>
      <c r="C32" s="35"/>
      <c r="D32" s="38" t="s">
        <v>159</v>
      </c>
      <c r="E32" s="36"/>
      <c r="F32" s="36"/>
      <c r="G32" s="36"/>
    </row>
    <row r="33" spans="1:7" x14ac:dyDescent="0.25">
      <c r="A33" s="35" t="s">
        <v>73</v>
      </c>
      <c r="B33" s="35"/>
      <c r="C33" s="35"/>
      <c r="D33" s="36" t="s">
        <v>141</v>
      </c>
      <c r="E33" s="36"/>
      <c r="F33" s="36"/>
      <c r="G33" s="36"/>
    </row>
    <row r="34" spans="1:7" x14ac:dyDescent="0.25">
      <c r="A34" s="35" t="s">
        <v>91</v>
      </c>
      <c r="B34" s="35"/>
      <c r="C34" s="35"/>
      <c r="D34" s="36" t="s">
        <v>160</v>
      </c>
      <c r="E34" s="36"/>
      <c r="F34" s="36"/>
      <c r="G34" s="36"/>
    </row>
  </sheetData>
  <mergeCells count="8">
    <mergeCell ref="A30:F30"/>
    <mergeCell ref="A31:F31"/>
    <mergeCell ref="A32:C32"/>
    <mergeCell ref="A33:C33"/>
    <mergeCell ref="A34:C34"/>
    <mergeCell ref="D32:G32"/>
    <mergeCell ref="D33:G33"/>
    <mergeCell ref="D34:G34"/>
  </mergeCells>
  <hyperlinks>
    <hyperlink ref="D32" r:id="rId1" xr:uid="{4ECCE750-992D-4BCF-909F-2D6169700812}"/>
    <hyperlink ref="D33" r:id="rId2" xr:uid="{35D64F16-4D45-47C9-96CF-76241F6D0D9D}"/>
    <hyperlink ref="D34" r:id="rId3" xr:uid="{C718B2EA-3AFB-43F7-BC97-79219F6632EC}"/>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4"/>
  <sheetViews>
    <sheetView topLeftCell="A18" zoomScale="130" zoomScaleNormal="130" workbookViewId="0">
      <selection activeCell="F23" sqref="F23"/>
    </sheetView>
  </sheetViews>
  <sheetFormatPr defaultRowHeight="15" x14ac:dyDescent="0.25"/>
  <cols>
    <col min="1" max="1" width="10" style="2" bestFit="1" customWidth="1"/>
    <col min="2" max="2" width="4" style="2" bestFit="1" customWidth="1"/>
    <col min="3" max="3" width="17.42578125" style="2" bestFit="1" customWidth="1"/>
    <col min="4" max="4" width="4.7109375" style="2" bestFit="1" customWidth="1"/>
    <col min="5" max="5" width="5.7109375" style="2" customWidth="1"/>
    <col min="6" max="6" width="84.28515625" style="2" customWidth="1"/>
    <col min="7" max="7" width="5" style="2" bestFit="1" customWidth="1"/>
    <col min="8" max="16384" width="9.140625" style="2"/>
  </cols>
  <sheetData>
    <row r="1" spans="1:7" ht="25.5" x14ac:dyDescent="0.25">
      <c r="A1" s="8" t="s">
        <v>0</v>
      </c>
      <c r="B1" s="8" t="s">
        <v>1</v>
      </c>
      <c r="C1" s="8" t="s">
        <v>2</v>
      </c>
      <c r="D1" s="8" t="s">
        <v>3</v>
      </c>
      <c r="E1" s="8" t="s">
        <v>4</v>
      </c>
      <c r="F1" s="8" t="s">
        <v>5</v>
      </c>
      <c r="G1" s="8" t="s">
        <v>6</v>
      </c>
    </row>
    <row r="2" spans="1:7" ht="114.75" x14ac:dyDescent="0.25">
      <c r="A2" s="10" t="s">
        <v>7</v>
      </c>
      <c r="B2" s="10" t="s">
        <v>8</v>
      </c>
      <c r="C2" s="10" t="s">
        <v>9</v>
      </c>
      <c r="D2" s="10">
        <v>1</v>
      </c>
      <c r="E2" s="10">
        <v>4</v>
      </c>
      <c r="F2" s="10" t="s">
        <v>190</v>
      </c>
      <c r="G2" s="10">
        <f>E2*D2</f>
        <v>4</v>
      </c>
    </row>
    <row r="3" spans="1:7" ht="63.75" x14ac:dyDescent="0.25">
      <c r="A3" s="10" t="s">
        <v>7</v>
      </c>
      <c r="B3" s="10" t="s">
        <v>10</v>
      </c>
      <c r="C3" s="10" t="s">
        <v>11</v>
      </c>
      <c r="D3" s="10">
        <v>1</v>
      </c>
      <c r="E3" s="10">
        <v>5</v>
      </c>
      <c r="F3" s="10" t="s">
        <v>185</v>
      </c>
      <c r="G3" s="10">
        <f t="shared" ref="G3:G29" si="0">E3*D3</f>
        <v>5</v>
      </c>
    </row>
    <row r="4" spans="1:7" ht="127.5" x14ac:dyDescent="0.25">
      <c r="A4" s="10" t="s">
        <v>7</v>
      </c>
      <c r="B4" s="10" t="s">
        <v>12</v>
      </c>
      <c r="C4" s="10" t="s">
        <v>13</v>
      </c>
      <c r="D4" s="10">
        <v>1</v>
      </c>
      <c r="E4" s="10">
        <v>4</v>
      </c>
      <c r="F4" s="10" t="s">
        <v>186</v>
      </c>
      <c r="G4" s="10">
        <f t="shared" si="0"/>
        <v>4</v>
      </c>
    </row>
    <row r="5" spans="1:7" ht="102" x14ac:dyDescent="0.25">
      <c r="A5" s="10" t="s">
        <v>7</v>
      </c>
      <c r="B5" s="10" t="s">
        <v>14</v>
      </c>
      <c r="C5" s="10" t="s">
        <v>15</v>
      </c>
      <c r="D5" s="10">
        <v>1</v>
      </c>
      <c r="E5" s="10">
        <v>5</v>
      </c>
      <c r="F5" s="10" t="s">
        <v>187</v>
      </c>
      <c r="G5" s="10">
        <f t="shared" si="0"/>
        <v>5</v>
      </c>
    </row>
    <row r="6" spans="1:7" ht="89.25" x14ac:dyDescent="0.25">
      <c r="A6" s="10" t="s">
        <v>7</v>
      </c>
      <c r="B6" s="10" t="s">
        <v>16</v>
      </c>
      <c r="C6" s="10" t="s">
        <v>17</v>
      </c>
      <c r="D6" s="10">
        <v>1</v>
      </c>
      <c r="E6" s="10">
        <v>5</v>
      </c>
      <c r="F6" s="10" t="s">
        <v>527</v>
      </c>
      <c r="G6" s="10">
        <f t="shared" si="0"/>
        <v>5</v>
      </c>
    </row>
    <row r="7" spans="1:7" ht="89.25" x14ac:dyDescent="0.25">
      <c r="A7" s="10" t="s">
        <v>7</v>
      </c>
      <c r="B7" s="10" t="s">
        <v>18</v>
      </c>
      <c r="C7" s="10" t="s">
        <v>19</v>
      </c>
      <c r="D7" s="10">
        <v>1</v>
      </c>
      <c r="E7" s="10">
        <v>5</v>
      </c>
      <c r="F7" s="10" t="s">
        <v>188</v>
      </c>
      <c r="G7" s="10">
        <f t="shared" si="0"/>
        <v>5</v>
      </c>
    </row>
    <row r="8" spans="1:7" ht="63.75" x14ac:dyDescent="0.25">
      <c r="A8" s="10" t="s">
        <v>7</v>
      </c>
      <c r="B8" s="10" t="s">
        <v>20</v>
      </c>
      <c r="C8" s="10" t="s">
        <v>21</v>
      </c>
      <c r="D8" s="10">
        <v>1</v>
      </c>
      <c r="E8" s="10">
        <v>5</v>
      </c>
      <c r="F8" s="10" t="s">
        <v>80</v>
      </c>
      <c r="G8" s="10">
        <f t="shared" si="0"/>
        <v>5</v>
      </c>
    </row>
    <row r="9" spans="1:7" ht="140.25" x14ac:dyDescent="0.25">
      <c r="A9" s="10" t="s">
        <v>7</v>
      </c>
      <c r="B9" s="10" t="s">
        <v>22</v>
      </c>
      <c r="C9" s="10" t="s">
        <v>23</v>
      </c>
      <c r="D9" s="10">
        <v>1</v>
      </c>
      <c r="E9" s="10">
        <v>2</v>
      </c>
      <c r="F9" s="10" t="s">
        <v>483</v>
      </c>
      <c r="G9" s="10">
        <f t="shared" si="0"/>
        <v>2</v>
      </c>
    </row>
    <row r="10" spans="1:7" ht="204" x14ac:dyDescent="0.25">
      <c r="A10" s="10" t="s">
        <v>7</v>
      </c>
      <c r="B10" s="10" t="s">
        <v>24</v>
      </c>
      <c r="C10" s="10" t="s">
        <v>25</v>
      </c>
      <c r="D10" s="10">
        <v>1</v>
      </c>
      <c r="E10" s="10">
        <v>2</v>
      </c>
      <c r="F10" s="10" t="s">
        <v>189</v>
      </c>
      <c r="G10" s="10">
        <f t="shared" si="0"/>
        <v>2</v>
      </c>
    </row>
    <row r="11" spans="1:7" ht="76.5" x14ac:dyDescent="0.25">
      <c r="A11" s="10" t="s">
        <v>7</v>
      </c>
      <c r="B11" s="10" t="s">
        <v>26</v>
      </c>
      <c r="C11" s="10" t="s">
        <v>27</v>
      </c>
      <c r="D11" s="10">
        <v>1</v>
      </c>
      <c r="E11" s="10">
        <v>0</v>
      </c>
      <c r="F11" s="10" t="s">
        <v>473</v>
      </c>
      <c r="G11" s="10">
        <f t="shared" si="0"/>
        <v>0</v>
      </c>
    </row>
    <row r="12" spans="1:7" ht="89.25" x14ac:dyDescent="0.25">
      <c r="A12" s="10" t="s">
        <v>28</v>
      </c>
      <c r="B12" s="10" t="s">
        <v>29</v>
      </c>
      <c r="C12" s="10" t="s">
        <v>30</v>
      </c>
      <c r="D12" s="10">
        <v>3</v>
      </c>
      <c r="E12" s="10">
        <v>5</v>
      </c>
      <c r="F12" s="10" t="s">
        <v>166</v>
      </c>
      <c r="G12" s="10">
        <f t="shared" si="0"/>
        <v>15</v>
      </c>
    </row>
    <row r="13" spans="1:7" ht="102"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63.75" x14ac:dyDescent="0.25">
      <c r="A15" s="10" t="s">
        <v>35</v>
      </c>
      <c r="B15" s="10" t="s">
        <v>36</v>
      </c>
      <c r="C15" s="10" t="s">
        <v>37</v>
      </c>
      <c r="D15" s="10">
        <v>2</v>
      </c>
      <c r="E15" s="10">
        <v>0</v>
      </c>
      <c r="F15" s="10" t="s">
        <v>191</v>
      </c>
      <c r="G15" s="10">
        <f t="shared" si="0"/>
        <v>0</v>
      </c>
    </row>
    <row r="16" spans="1:7" ht="76.5" x14ac:dyDescent="0.25">
      <c r="A16" s="10" t="s">
        <v>35</v>
      </c>
      <c r="B16" s="10" t="s">
        <v>38</v>
      </c>
      <c r="C16" s="10" t="s">
        <v>39</v>
      </c>
      <c r="D16" s="10">
        <v>2</v>
      </c>
      <c r="E16" s="10">
        <v>5</v>
      </c>
      <c r="F16" s="10" t="s">
        <v>528</v>
      </c>
      <c r="G16" s="10">
        <f t="shared" si="0"/>
        <v>10</v>
      </c>
    </row>
    <row r="17" spans="1:7" ht="51" x14ac:dyDescent="0.25">
      <c r="A17" s="10" t="s">
        <v>35</v>
      </c>
      <c r="B17" s="10" t="s">
        <v>40</v>
      </c>
      <c r="C17" s="10" t="s">
        <v>41</v>
      </c>
      <c r="D17" s="10">
        <v>2</v>
      </c>
      <c r="E17" s="10">
        <v>4</v>
      </c>
      <c r="F17" s="10" t="s">
        <v>192</v>
      </c>
      <c r="G17" s="10">
        <f t="shared" si="0"/>
        <v>8</v>
      </c>
    </row>
    <row r="18" spans="1:7" ht="140.25" x14ac:dyDescent="0.25">
      <c r="A18" s="10" t="s">
        <v>35</v>
      </c>
      <c r="B18" s="10" t="s">
        <v>42</v>
      </c>
      <c r="C18" s="10" t="s">
        <v>43</v>
      </c>
      <c r="D18" s="10">
        <v>2</v>
      </c>
      <c r="E18" s="10">
        <v>4</v>
      </c>
      <c r="F18" s="10" t="s">
        <v>130</v>
      </c>
      <c r="G18" s="10">
        <f t="shared" si="0"/>
        <v>8</v>
      </c>
    </row>
    <row r="19" spans="1:7" ht="102" x14ac:dyDescent="0.25">
      <c r="A19" s="10" t="s">
        <v>35</v>
      </c>
      <c r="B19" s="10" t="s">
        <v>44</v>
      </c>
      <c r="C19" s="10" t="s">
        <v>45</v>
      </c>
      <c r="D19" s="10">
        <v>2</v>
      </c>
      <c r="E19" s="10">
        <v>0</v>
      </c>
      <c r="F19" s="10" t="s">
        <v>213</v>
      </c>
      <c r="G19" s="10">
        <f t="shared" si="0"/>
        <v>0</v>
      </c>
    </row>
    <row r="20" spans="1:7" ht="76.5" x14ac:dyDescent="0.25">
      <c r="A20" s="10" t="s">
        <v>35</v>
      </c>
      <c r="B20" s="10" t="s">
        <v>46</v>
      </c>
      <c r="C20" s="10" t="s">
        <v>47</v>
      </c>
      <c r="D20" s="10">
        <v>2</v>
      </c>
      <c r="E20" s="10">
        <v>5</v>
      </c>
      <c r="F20" s="10" t="s">
        <v>193</v>
      </c>
      <c r="G20" s="10">
        <f t="shared" si="0"/>
        <v>10</v>
      </c>
    </row>
    <row r="21" spans="1:7" ht="76.5" x14ac:dyDescent="0.25">
      <c r="A21" s="10" t="s">
        <v>35</v>
      </c>
      <c r="B21" s="10" t="s">
        <v>48</v>
      </c>
      <c r="C21" s="10" t="s">
        <v>49</v>
      </c>
      <c r="D21" s="10">
        <v>2</v>
      </c>
      <c r="E21" s="10">
        <v>5</v>
      </c>
      <c r="F21" s="10" t="s">
        <v>194</v>
      </c>
      <c r="G21" s="10">
        <f t="shared" si="0"/>
        <v>10</v>
      </c>
    </row>
    <row r="22" spans="1:7" ht="102" x14ac:dyDescent="0.25">
      <c r="A22" s="10" t="s">
        <v>50</v>
      </c>
      <c r="B22" s="10" t="s">
        <v>51</v>
      </c>
      <c r="C22" s="10" t="s">
        <v>52</v>
      </c>
      <c r="D22" s="10">
        <v>2</v>
      </c>
      <c r="E22" s="10">
        <v>1</v>
      </c>
      <c r="F22" s="10" t="s">
        <v>195</v>
      </c>
      <c r="G22" s="10">
        <f t="shared" si="0"/>
        <v>2</v>
      </c>
    </row>
    <row r="23" spans="1:7" ht="63.75" x14ac:dyDescent="0.25">
      <c r="A23" s="10" t="s">
        <v>50</v>
      </c>
      <c r="B23" s="10" t="s">
        <v>53</v>
      </c>
      <c r="C23" s="10" t="s">
        <v>54</v>
      </c>
      <c r="D23" s="10">
        <v>2</v>
      </c>
      <c r="E23" s="10">
        <v>3</v>
      </c>
      <c r="F23" s="10" t="s">
        <v>196</v>
      </c>
      <c r="G23" s="10">
        <f t="shared" si="0"/>
        <v>6</v>
      </c>
    </row>
    <row r="24" spans="1:7" ht="165.75"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102" x14ac:dyDescent="0.25">
      <c r="A26" s="10" t="s">
        <v>57</v>
      </c>
      <c r="B26" s="10" t="s">
        <v>60</v>
      </c>
      <c r="C26" s="10" t="s">
        <v>61</v>
      </c>
      <c r="D26" s="10">
        <v>3</v>
      </c>
      <c r="E26" s="10">
        <v>0</v>
      </c>
      <c r="F26" s="10" t="s">
        <v>197</v>
      </c>
      <c r="G26" s="10">
        <f t="shared" si="0"/>
        <v>0</v>
      </c>
    </row>
    <row r="27" spans="1:7" ht="102" x14ac:dyDescent="0.25">
      <c r="A27" s="10" t="s">
        <v>57</v>
      </c>
      <c r="B27" s="10" t="s">
        <v>62</v>
      </c>
      <c r="C27" s="10" t="s">
        <v>63</v>
      </c>
      <c r="D27" s="10">
        <v>3</v>
      </c>
      <c r="E27" s="10">
        <v>0</v>
      </c>
      <c r="F27" s="10" t="s">
        <v>198</v>
      </c>
      <c r="G27" s="10">
        <f t="shared" si="0"/>
        <v>0</v>
      </c>
    </row>
    <row r="28" spans="1:7" ht="127.5" x14ac:dyDescent="0.25">
      <c r="A28" s="10" t="s">
        <v>57</v>
      </c>
      <c r="B28" s="10" t="s">
        <v>64</v>
      </c>
      <c r="C28" s="10" t="s">
        <v>65</v>
      </c>
      <c r="D28" s="10">
        <v>3</v>
      </c>
      <c r="E28" s="10">
        <v>0</v>
      </c>
      <c r="F28" s="10" t="s">
        <v>199</v>
      </c>
      <c r="G28" s="10">
        <f t="shared" si="0"/>
        <v>0</v>
      </c>
    </row>
    <row r="29" spans="1:7" ht="114.75" x14ac:dyDescent="0.25">
      <c r="A29" s="10" t="s">
        <v>57</v>
      </c>
      <c r="B29" s="10" t="s">
        <v>66</v>
      </c>
      <c r="C29" s="10" t="s">
        <v>68</v>
      </c>
      <c r="D29" s="10">
        <v>3</v>
      </c>
      <c r="E29" s="10">
        <v>0</v>
      </c>
      <c r="F29" s="10" t="s">
        <v>200</v>
      </c>
      <c r="G29" s="10">
        <f t="shared" si="0"/>
        <v>0</v>
      </c>
    </row>
    <row r="30" spans="1:7" x14ac:dyDescent="0.25">
      <c r="A30" s="37" t="s">
        <v>67</v>
      </c>
      <c r="B30" s="37"/>
      <c r="C30" s="37"/>
      <c r="D30" s="37"/>
      <c r="E30" s="37"/>
      <c r="F30" s="37"/>
      <c r="G30" s="10">
        <f>SUM(G2:G29)</f>
        <v>133</v>
      </c>
    </row>
    <row r="31" spans="1:7" x14ac:dyDescent="0.25">
      <c r="A31" s="37" t="s">
        <v>69</v>
      </c>
      <c r="B31" s="37"/>
      <c r="C31" s="37"/>
      <c r="D31" s="37"/>
      <c r="E31" s="37"/>
      <c r="F31" s="37"/>
      <c r="G31" s="10">
        <f>IF(G30&lt;54,1,IF(G30&lt;108,2,IF(G30&lt;162,3,IF(G30&lt;216,4,5))))</f>
        <v>3</v>
      </c>
    </row>
    <row r="32" spans="1:7" x14ac:dyDescent="0.25">
      <c r="A32" s="35" t="s">
        <v>72</v>
      </c>
      <c r="B32" s="35"/>
      <c r="C32" s="35"/>
      <c r="D32" s="39" t="s">
        <v>202</v>
      </c>
      <c r="E32" s="40"/>
      <c r="F32" s="40"/>
      <c r="G32" s="41"/>
    </row>
    <row r="33" spans="1:7" x14ac:dyDescent="0.25">
      <c r="A33" s="35" t="s">
        <v>73</v>
      </c>
      <c r="B33" s="35"/>
      <c r="C33" s="35"/>
      <c r="D33" s="39" t="s">
        <v>201</v>
      </c>
      <c r="E33" s="40"/>
      <c r="F33" s="40"/>
      <c r="G33" s="41"/>
    </row>
    <row r="34" spans="1:7" x14ac:dyDescent="0.25">
      <c r="A34" s="35" t="s">
        <v>91</v>
      </c>
      <c r="B34" s="35"/>
      <c r="C34" s="35"/>
      <c r="D34" s="39" t="s">
        <v>203</v>
      </c>
      <c r="E34" s="40"/>
      <c r="F34" s="40"/>
      <c r="G34" s="41"/>
    </row>
  </sheetData>
  <mergeCells count="8">
    <mergeCell ref="A30:F30"/>
    <mergeCell ref="A31:F31"/>
    <mergeCell ref="D32:G32"/>
    <mergeCell ref="D33:G33"/>
    <mergeCell ref="D34:G34"/>
    <mergeCell ref="A32:C32"/>
    <mergeCell ref="A33:C33"/>
    <mergeCell ref="A34:C34"/>
  </mergeCells>
  <hyperlinks>
    <hyperlink ref="D33" r:id="rId1" xr:uid="{5770BDB8-4F14-419E-9EBA-D5FA201AD570}"/>
    <hyperlink ref="D32" r:id="rId2" xr:uid="{AD61016F-F7B5-4641-9E80-E4BAC6A1B3C8}"/>
    <hyperlink ref="D34" r:id="rId3" xr:uid="{75EFB564-A2A5-4C61-8B9F-9403980E5327}"/>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4"/>
  <sheetViews>
    <sheetView topLeftCell="A17" zoomScale="115" zoomScaleNormal="115" workbookViewId="0">
      <selection activeCell="E23" sqref="E23:F23"/>
    </sheetView>
  </sheetViews>
  <sheetFormatPr defaultRowHeight="15" x14ac:dyDescent="0.25"/>
  <cols>
    <col min="1" max="1" width="12.7109375" style="2" bestFit="1" customWidth="1"/>
    <col min="2" max="2" width="4" style="2" bestFit="1" customWidth="1"/>
    <col min="3" max="3" width="17.42578125" style="2" customWidth="1"/>
    <col min="4" max="4" width="4.7109375" style="2" bestFit="1" customWidth="1"/>
    <col min="5" max="5" width="5.28515625" style="2" customWidth="1"/>
    <col min="6" max="6" width="106.85546875" style="2" customWidth="1"/>
    <col min="7" max="7" width="5" style="2" bestFit="1" customWidth="1"/>
  </cols>
  <sheetData>
    <row r="1" spans="1:7" ht="25.5" x14ac:dyDescent="0.25">
      <c r="A1" s="8" t="s">
        <v>0</v>
      </c>
      <c r="B1" s="8" t="s">
        <v>1</v>
      </c>
      <c r="C1" s="8" t="s">
        <v>2</v>
      </c>
      <c r="D1" s="8" t="s">
        <v>3</v>
      </c>
      <c r="E1" s="8" t="s">
        <v>4</v>
      </c>
      <c r="F1" s="8" t="s">
        <v>5</v>
      </c>
      <c r="G1" s="8" t="s">
        <v>6</v>
      </c>
    </row>
    <row r="2" spans="1:7" ht="89.25" x14ac:dyDescent="0.25">
      <c r="A2" s="10" t="s">
        <v>7</v>
      </c>
      <c r="B2" s="10" t="s">
        <v>8</v>
      </c>
      <c r="C2" s="10" t="s">
        <v>9</v>
      </c>
      <c r="D2" s="10">
        <v>1</v>
      </c>
      <c r="E2" s="10">
        <v>5</v>
      </c>
      <c r="F2" s="10" t="s">
        <v>205</v>
      </c>
      <c r="G2" s="10">
        <f>E2*D2</f>
        <v>5</v>
      </c>
    </row>
    <row r="3" spans="1:7" ht="63.75" x14ac:dyDescent="0.25">
      <c r="A3" s="10" t="s">
        <v>7</v>
      </c>
      <c r="B3" s="10" t="s">
        <v>10</v>
      </c>
      <c r="C3" s="10" t="s">
        <v>11</v>
      </c>
      <c r="D3" s="10">
        <v>1</v>
      </c>
      <c r="E3" s="10">
        <v>5</v>
      </c>
      <c r="F3" s="10" t="s">
        <v>204</v>
      </c>
      <c r="G3" s="10">
        <f t="shared" ref="G3:G29" si="0">E3*D3</f>
        <v>5</v>
      </c>
    </row>
    <row r="4" spans="1:7" ht="102" x14ac:dyDescent="0.25">
      <c r="A4" s="10" t="s">
        <v>7</v>
      </c>
      <c r="B4" s="10" t="s">
        <v>12</v>
      </c>
      <c r="C4" s="10" t="s">
        <v>13</v>
      </c>
      <c r="D4" s="10">
        <v>1</v>
      </c>
      <c r="E4" s="10">
        <v>5</v>
      </c>
      <c r="F4" s="10" t="s">
        <v>211</v>
      </c>
      <c r="G4" s="10">
        <f t="shared" si="0"/>
        <v>5</v>
      </c>
    </row>
    <row r="5" spans="1:7" ht="63.75" x14ac:dyDescent="0.25">
      <c r="A5" s="10" t="s">
        <v>7</v>
      </c>
      <c r="B5" s="10" t="s">
        <v>14</v>
      </c>
      <c r="C5" s="10" t="s">
        <v>15</v>
      </c>
      <c r="D5" s="10">
        <v>1</v>
      </c>
      <c r="E5" s="10">
        <v>5</v>
      </c>
      <c r="F5" s="10" t="s">
        <v>206</v>
      </c>
      <c r="G5" s="10">
        <f t="shared" si="0"/>
        <v>5</v>
      </c>
    </row>
    <row r="6" spans="1:7" ht="89.25" x14ac:dyDescent="0.25">
      <c r="A6" s="10" t="s">
        <v>7</v>
      </c>
      <c r="B6" s="10" t="s">
        <v>16</v>
      </c>
      <c r="C6" s="10" t="s">
        <v>17</v>
      </c>
      <c r="D6" s="10">
        <v>1</v>
      </c>
      <c r="E6" s="10">
        <v>5</v>
      </c>
      <c r="F6" s="10" t="s">
        <v>529</v>
      </c>
      <c r="G6" s="10">
        <f t="shared" si="0"/>
        <v>5</v>
      </c>
    </row>
    <row r="7" spans="1:7" ht="89.25" x14ac:dyDescent="0.25">
      <c r="A7" s="10" t="s">
        <v>7</v>
      </c>
      <c r="B7" s="10" t="s">
        <v>18</v>
      </c>
      <c r="C7" s="10" t="s">
        <v>19</v>
      </c>
      <c r="D7" s="10">
        <v>1</v>
      </c>
      <c r="E7" s="10">
        <v>5</v>
      </c>
      <c r="F7" s="10" t="s">
        <v>207</v>
      </c>
      <c r="G7" s="10">
        <f t="shared" si="0"/>
        <v>5</v>
      </c>
    </row>
    <row r="8" spans="1:7" ht="63.75" x14ac:dyDescent="0.25">
      <c r="A8" s="10" t="s">
        <v>7</v>
      </c>
      <c r="B8" s="10" t="s">
        <v>20</v>
      </c>
      <c r="C8" s="10" t="s">
        <v>21</v>
      </c>
      <c r="D8" s="10">
        <v>1</v>
      </c>
      <c r="E8" s="10">
        <v>5</v>
      </c>
      <c r="F8" s="10" t="s">
        <v>208</v>
      </c>
      <c r="G8" s="10">
        <f t="shared" si="0"/>
        <v>5</v>
      </c>
    </row>
    <row r="9" spans="1:7" ht="114.75" x14ac:dyDescent="0.25">
      <c r="A9" s="10" t="s">
        <v>7</v>
      </c>
      <c r="B9" s="10" t="s">
        <v>22</v>
      </c>
      <c r="C9" s="10" t="s">
        <v>23</v>
      </c>
      <c r="D9" s="10">
        <v>1</v>
      </c>
      <c r="E9" s="12">
        <v>2</v>
      </c>
      <c r="F9" s="10" t="s">
        <v>483</v>
      </c>
      <c r="G9" s="10">
        <f t="shared" si="0"/>
        <v>2</v>
      </c>
    </row>
    <row r="10" spans="1:7" ht="140.25" x14ac:dyDescent="0.25">
      <c r="A10" s="10" t="s">
        <v>7</v>
      </c>
      <c r="B10" s="10" t="s">
        <v>24</v>
      </c>
      <c r="C10" s="10" t="s">
        <v>25</v>
      </c>
      <c r="D10" s="10">
        <v>1</v>
      </c>
      <c r="E10" s="12">
        <v>2</v>
      </c>
      <c r="F10" s="10" t="s">
        <v>209</v>
      </c>
      <c r="G10" s="10">
        <f t="shared" si="0"/>
        <v>2</v>
      </c>
    </row>
    <row r="11" spans="1:7" ht="63.75" x14ac:dyDescent="0.25">
      <c r="A11" s="10" t="s">
        <v>7</v>
      </c>
      <c r="B11" s="10" t="s">
        <v>26</v>
      </c>
      <c r="C11" s="10" t="s">
        <v>27</v>
      </c>
      <c r="D11" s="10">
        <v>1</v>
      </c>
      <c r="E11" s="12">
        <v>0</v>
      </c>
      <c r="F11" s="10" t="s">
        <v>473</v>
      </c>
      <c r="G11" s="10">
        <f t="shared" si="0"/>
        <v>0</v>
      </c>
    </row>
    <row r="12" spans="1:7" ht="63.75" x14ac:dyDescent="0.25">
      <c r="A12" s="10" t="s">
        <v>28</v>
      </c>
      <c r="B12" s="10" t="s">
        <v>29</v>
      </c>
      <c r="C12" s="10" t="s">
        <v>30</v>
      </c>
      <c r="D12" s="10">
        <v>3</v>
      </c>
      <c r="E12" s="12">
        <v>5</v>
      </c>
      <c r="F12" s="10" t="s">
        <v>167</v>
      </c>
      <c r="G12" s="10">
        <f t="shared" si="0"/>
        <v>15</v>
      </c>
    </row>
    <row r="13" spans="1:7" ht="76.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3</v>
      </c>
      <c r="F15" s="10" t="s">
        <v>545</v>
      </c>
      <c r="G15" s="10">
        <f t="shared" si="0"/>
        <v>6</v>
      </c>
    </row>
    <row r="16" spans="1:7" ht="89.25" x14ac:dyDescent="0.25">
      <c r="A16" s="10" t="s">
        <v>35</v>
      </c>
      <c r="B16" s="10" t="s">
        <v>38</v>
      </c>
      <c r="C16" s="10" t="s">
        <v>39</v>
      </c>
      <c r="D16" s="10">
        <v>2</v>
      </c>
      <c r="E16" s="10">
        <v>5</v>
      </c>
      <c r="F16" s="10" t="s">
        <v>210</v>
      </c>
      <c r="G16" s="10">
        <f t="shared" si="0"/>
        <v>10</v>
      </c>
    </row>
    <row r="17" spans="1:7" ht="51" x14ac:dyDescent="0.25">
      <c r="A17" s="10" t="s">
        <v>35</v>
      </c>
      <c r="B17" s="10" t="s">
        <v>40</v>
      </c>
      <c r="C17" s="10" t="s">
        <v>41</v>
      </c>
      <c r="D17" s="10">
        <v>2</v>
      </c>
      <c r="E17" s="10">
        <v>4</v>
      </c>
      <c r="F17" s="10" t="s">
        <v>212</v>
      </c>
      <c r="G17" s="10">
        <f t="shared" si="0"/>
        <v>8</v>
      </c>
    </row>
    <row r="18" spans="1:7" ht="102" x14ac:dyDescent="0.25">
      <c r="A18" s="10" t="s">
        <v>35</v>
      </c>
      <c r="B18" s="10" t="s">
        <v>42</v>
      </c>
      <c r="C18" s="10" t="s">
        <v>43</v>
      </c>
      <c r="D18" s="10">
        <v>2</v>
      </c>
      <c r="E18" s="10">
        <v>4</v>
      </c>
      <c r="F18" s="10" t="s">
        <v>130</v>
      </c>
      <c r="G18" s="10">
        <f t="shared" si="0"/>
        <v>8</v>
      </c>
    </row>
    <row r="19" spans="1:7" ht="102" x14ac:dyDescent="0.25">
      <c r="A19" s="10" t="s">
        <v>35</v>
      </c>
      <c r="B19" s="10" t="s">
        <v>44</v>
      </c>
      <c r="C19" s="10" t="s">
        <v>45</v>
      </c>
      <c r="D19" s="10">
        <v>2</v>
      </c>
      <c r="E19" s="10">
        <v>3</v>
      </c>
      <c r="F19" s="10" t="s">
        <v>496</v>
      </c>
      <c r="G19" s="10">
        <f t="shared" si="0"/>
        <v>6</v>
      </c>
    </row>
    <row r="20" spans="1:7" ht="63.75" x14ac:dyDescent="0.25">
      <c r="A20" s="10" t="s">
        <v>35</v>
      </c>
      <c r="B20" s="10" t="s">
        <v>46</v>
      </c>
      <c r="C20" s="10" t="s">
        <v>47</v>
      </c>
      <c r="D20" s="10">
        <v>2</v>
      </c>
      <c r="E20" s="10">
        <v>5</v>
      </c>
      <c r="F20" s="10" t="s">
        <v>214</v>
      </c>
      <c r="G20" s="10">
        <f t="shared" si="0"/>
        <v>10</v>
      </c>
    </row>
    <row r="21" spans="1:7" ht="51" x14ac:dyDescent="0.25">
      <c r="A21" s="10" t="s">
        <v>35</v>
      </c>
      <c r="B21" s="10" t="s">
        <v>48</v>
      </c>
      <c r="C21" s="10" t="s">
        <v>49</v>
      </c>
      <c r="D21" s="10">
        <v>2</v>
      </c>
      <c r="E21" s="10">
        <v>5</v>
      </c>
      <c r="F21" s="10" t="s">
        <v>215</v>
      </c>
      <c r="G21" s="10">
        <f t="shared" si="0"/>
        <v>10</v>
      </c>
    </row>
    <row r="22" spans="1:7" ht="102" x14ac:dyDescent="0.25">
      <c r="A22" s="10" t="s">
        <v>50</v>
      </c>
      <c r="B22" s="10" t="s">
        <v>51</v>
      </c>
      <c r="C22" s="10" t="s">
        <v>52</v>
      </c>
      <c r="D22" s="10">
        <v>2</v>
      </c>
      <c r="E22" s="10">
        <v>1</v>
      </c>
      <c r="F22" s="10" t="s">
        <v>216</v>
      </c>
      <c r="G22" s="10">
        <f t="shared" si="0"/>
        <v>2</v>
      </c>
    </row>
    <row r="23" spans="1:7" ht="63.75" x14ac:dyDescent="0.25">
      <c r="A23" s="10" t="s">
        <v>50</v>
      </c>
      <c r="B23" s="10" t="s">
        <v>53</v>
      </c>
      <c r="C23" s="10" t="s">
        <v>54</v>
      </c>
      <c r="D23" s="10">
        <v>2</v>
      </c>
      <c r="E23" s="10">
        <v>2</v>
      </c>
      <c r="F23" s="10" t="s">
        <v>570</v>
      </c>
      <c r="G23" s="10">
        <f t="shared" si="0"/>
        <v>4</v>
      </c>
    </row>
    <row r="24" spans="1:7" ht="127.5"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76.5" x14ac:dyDescent="0.25">
      <c r="A26" s="10" t="s">
        <v>57</v>
      </c>
      <c r="B26" s="10" t="s">
        <v>60</v>
      </c>
      <c r="C26" s="10" t="s">
        <v>61</v>
      </c>
      <c r="D26" s="10">
        <v>3</v>
      </c>
      <c r="E26" s="10">
        <v>0</v>
      </c>
      <c r="F26" s="10" t="s">
        <v>217</v>
      </c>
      <c r="G26" s="10">
        <f t="shared" si="0"/>
        <v>0</v>
      </c>
    </row>
    <row r="27" spans="1:7" ht="89.25" x14ac:dyDescent="0.25">
      <c r="A27" s="10" t="s">
        <v>57</v>
      </c>
      <c r="B27" s="10" t="s">
        <v>62</v>
      </c>
      <c r="C27" s="10" t="s">
        <v>63</v>
      </c>
      <c r="D27" s="10">
        <v>3</v>
      </c>
      <c r="E27" s="10">
        <v>0</v>
      </c>
      <c r="F27" s="10" t="s">
        <v>497</v>
      </c>
      <c r="G27" s="10">
        <f t="shared" si="0"/>
        <v>0</v>
      </c>
    </row>
    <row r="28" spans="1:7" ht="114.75" x14ac:dyDescent="0.25">
      <c r="A28" s="10" t="s">
        <v>57</v>
      </c>
      <c r="B28" s="10" t="s">
        <v>64</v>
      </c>
      <c r="C28" s="10" t="s">
        <v>65</v>
      </c>
      <c r="D28" s="10">
        <v>3</v>
      </c>
      <c r="E28" s="10">
        <v>0</v>
      </c>
      <c r="F28" s="10" t="s">
        <v>218</v>
      </c>
      <c r="G28" s="10">
        <f t="shared" si="0"/>
        <v>0</v>
      </c>
    </row>
    <row r="29" spans="1:7" ht="89.25" x14ac:dyDescent="0.25">
      <c r="A29" s="10" t="s">
        <v>57</v>
      </c>
      <c r="B29" s="10" t="s">
        <v>66</v>
      </c>
      <c r="C29" s="10" t="s">
        <v>68</v>
      </c>
      <c r="D29" s="10">
        <v>3</v>
      </c>
      <c r="E29" s="10">
        <v>0</v>
      </c>
      <c r="F29" s="10" t="s">
        <v>498</v>
      </c>
      <c r="G29" s="10">
        <f t="shared" si="0"/>
        <v>0</v>
      </c>
    </row>
    <row r="30" spans="1:7" x14ac:dyDescent="0.25">
      <c r="A30" s="37" t="s">
        <v>67</v>
      </c>
      <c r="B30" s="37"/>
      <c r="C30" s="37"/>
      <c r="D30" s="37"/>
      <c r="E30" s="37"/>
      <c r="F30" s="37"/>
      <c r="G30" s="10">
        <f>SUM(G2:G29)</f>
        <v>145</v>
      </c>
    </row>
    <row r="31" spans="1:7" x14ac:dyDescent="0.25">
      <c r="A31" s="37" t="s">
        <v>69</v>
      </c>
      <c r="B31" s="37"/>
      <c r="C31" s="37"/>
      <c r="D31" s="37"/>
      <c r="E31" s="37"/>
      <c r="F31" s="37"/>
      <c r="G31" s="10">
        <f>IF(G30&lt;54,1,IF(G30&lt;108,2,IF(G30&lt;162,3,IF(G30&lt;216,4,5))))</f>
        <v>3</v>
      </c>
    </row>
    <row r="32" spans="1:7" x14ac:dyDescent="0.25">
      <c r="A32" s="34" t="s">
        <v>72</v>
      </c>
      <c r="B32" s="34"/>
      <c r="C32" s="34"/>
      <c r="D32" s="42" t="s">
        <v>220</v>
      </c>
      <c r="E32" s="35"/>
      <c r="F32" s="35"/>
      <c r="G32" s="35"/>
    </row>
    <row r="33" spans="1:7" x14ac:dyDescent="0.25">
      <c r="A33" s="34" t="s">
        <v>73</v>
      </c>
      <c r="B33" s="34"/>
      <c r="C33" s="34"/>
      <c r="D33" s="42" t="s">
        <v>106</v>
      </c>
      <c r="E33" s="35"/>
      <c r="F33" s="35"/>
      <c r="G33" s="35"/>
    </row>
    <row r="34" spans="1:7" x14ac:dyDescent="0.25">
      <c r="A34" s="34" t="s">
        <v>91</v>
      </c>
      <c r="B34" s="34"/>
      <c r="C34" s="34"/>
      <c r="D34" s="42" t="s">
        <v>219</v>
      </c>
      <c r="E34" s="35"/>
      <c r="F34" s="35"/>
      <c r="G34" s="35"/>
    </row>
  </sheetData>
  <mergeCells count="8">
    <mergeCell ref="A30:F30"/>
    <mergeCell ref="A31:F31"/>
    <mergeCell ref="A32:C32"/>
    <mergeCell ref="A33:C33"/>
    <mergeCell ref="A34:C34"/>
    <mergeCell ref="D33:G33"/>
    <mergeCell ref="D34:G34"/>
    <mergeCell ref="D32:G32"/>
  </mergeCells>
  <hyperlinks>
    <hyperlink ref="D33" r:id="rId1" xr:uid="{B18133FA-4726-4FFC-8DDC-CCD0C0A3F346}"/>
    <hyperlink ref="D34" r:id="rId2" xr:uid="{E7679B18-6515-44F6-8857-3F27528641EA}"/>
    <hyperlink ref="D32" r:id="rId3" xr:uid="{B40E20E2-2587-4033-AB27-56A65CC59AE3}"/>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4"/>
  <sheetViews>
    <sheetView topLeftCell="A17" zoomScale="130" zoomScaleNormal="130" workbookViewId="0">
      <selection activeCell="E24" sqref="E24"/>
    </sheetView>
  </sheetViews>
  <sheetFormatPr defaultRowHeight="15" x14ac:dyDescent="0.25"/>
  <cols>
    <col min="1" max="1" width="14" style="2" bestFit="1" customWidth="1"/>
    <col min="2" max="2" width="4.28515625" style="2" bestFit="1" customWidth="1"/>
    <col min="3" max="3" width="13.140625" style="2" customWidth="1"/>
    <col min="4" max="4" width="5.28515625" style="2" bestFit="1" customWidth="1"/>
    <col min="5" max="5" width="5.7109375" style="2" customWidth="1"/>
    <col min="6" max="6" width="114.85546875" style="2" customWidth="1"/>
    <col min="7" max="7" width="5.42578125" style="2" bestFit="1" customWidth="1"/>
    <col min="8" max="16384" width="9.140625" style="2"/>
  </cols>
  <sheetData>
    <row r="1" spans="1:7" ht="25.5" x14ac:dyDescent="0.25">
      <c r="A1" s="8" t="s">
        <v>0</v>
      </c>
      <c r="B1" s="8" t="s">
        <v>1</v>
      </c>
      <c r="C1" s="8" t="s">
        <v>2</v>
      </c>
      <c r="D1" s="8" t="s">
        <v>3</v>
      </c>
      <c r="E1" s="8" t="s">
        <v>4</v>
      </c>
      <c r="F1" s="8" t="s">
        <v>5</v>
      </c>
      <c r="G1" s="8" t="s">
        <v>6</v>
      </c>
    </row>
    <row r="2" spans="1:7" ht="63.75" x14ac:dyDescent="0.25">
      <c r="A2" s="10" t="s">
        <v>7</v>
      </c>
      <c r="B2" s="10" t="s">
        <v>8</v>
      </c>
      <c r="C2" s="10" t="s">
        <v>9</v>
      </c>
      <c r="D2" s="10">
        <v>1</v>
      </c>
      <c r="E2" s="10">
        <v>5</v>
      </c>
      <c r="F2" s="10" t="s">
        <v>499</v>
      </c>
      <c r="G2" s="10">
        <f>E2*D2</f>
        <v>5</v>
      </c>
    </row>
    <row r="3" spans="1:7" ht="51" x14ac:dyDescent="0.25">
      <c r="A3" s="10" t="s">
        <v>7</v>
      </c>
      <c r="B3" s="10" t="s">
        <v>10</v>
      </c>
      <c r="C3" s="10" t="s">
        <v>11</v>
      </c>
      <c r="D3" s="10">
        <v>1</v>
      </c>
      <c r="E3" s="10">
        <v>5</v>
      </c>
      <c r="F3" s="10" t="s">
        <v>221</v>
      </c>
      <c r="G3" s="10">
        <f t="shared" ref="G3:G29" si="0">E3*D3</f>
        <v>5</v>
      </c>
    </row>
    <row r="4" spans="1:7" ht="63.75" x14ac:dyDescent="0.25">
      <c r="A4" s="10" t="s">
        <v>7</v>
      </c>
      <c r="B4" s="10" t="s">
        <v>12</v>
      </c>
      <c r="C4" s="10" t="s">
        <v>13</v>
      </c>
      <c r="D4" s="10">
        <v>1</v>
      </c>
      <c r="E4" s="10">
        <v>4</v>
      </c>
      <c r="F4" s="10" t="s">
        <v>222</v>
      </c>
      <c r="G4" s="10">
        <f t="shared" si="0"/>
        <v>4</v>
      </c>
    </row>
    <row r="5" spans="1:7" ht="76.5" x14ac:dyDescent="0.25">
      <c r="A5" s="10" t="s">
        <v>7</v>
      </c>
      <c r="B5" s="10" t="s">
        <v>14</v>
      </c>
      <c r="C5" s="10" t="s">
        <v>15</v>
      </c>
      <c r="D5" s="10">
        <v>1</v>
      </c>
      <c r="E5" s="10">
        <v>5</v>
      </c>
      <c r="F5" s="10" t="s">
        <v>108</v>
      </c>
      <c r="G5" s="10">
        <f t="shared" si="0"/>
        <v>5</v>
      </c>
    </row>
    <row r="6" spans="1:7" ht="63.75" x14ac:dyDescent="0.25">
      <c r="A6" s="10" t="s">
        <v>7</v>
      </c>
      <c r="B6" s="10" t="s">
        <v>16</v>
      </c>
      <c r="C6" s="10" t="s">
        <v>17</v>
      </c>
      <c r="D6" s="10">
        <v>1</v>
      </c>
      <c r="E6" s="10">
        <v>5</v>
      </c>
      <c r="F6" s="10" t="s">
        <v>223</v>
      </c>
      <c r="G6" s="10">
        <f t="shared" si="0"/>
        <v>5</v>
      </c>
    </row>
    <row r="7" spans="1:7" ht="63.75" x14ac:dyDescent="0.25">
      <c r="A7" s="10" t="s">
        <v>7</v>
      </c>
      <c r="B7" s="10" t="s">
        <v>18</v>
      </c>
      <c r="C7" s="10" t="s">
        <v>19</v>
      </c>
      <c r="D7" s="10">
        <v>1</v>
      </c>
      <c r="E7" s="10">
        <v>5</v>
      </c>
      <c r="F7" s="10" t="s">
        <v>224</v>
      </c>
      <c r="G7" s="10">
        <f t="shared" si="0"/>
        <v>5</v>
      </c>
    </row>
    <row r="8" spans="1:7" ht="63.75" x14ac:dyDescent="0.25">
      <c r="A8" s="10" t="s">
        <v>7</v>
      </c>
      <c r="B8" s="10" t="s">
        <v>20</v>
      </c>
      <c r="C8" s="10" t="s">
        <v>21</v>
      </c>
      <c r="D8" s="10">
        <v>1</v>
      </c>
      <c r="E8" s="10">
        <v>5</v>
      </c>
      <c r="F8" s="10" t="s">
        <v>225</v>
      </c>
      <c r="G8" s="10">
        <f t="shared" si="0"/>
        <v>5</v>
      </c>
    </row>
    <row r="9" spans="1:7" ht="114.75" x14ac:dyDescent="0.25">
      <c r="A9" s="10" t="s">
        <v>7</v>
      </c>
      <c r="B9" s="10" t="s">
        <v>22</v>
      </c>
      <c r="C9" s="10" t="s">
        <v>23</v>
      </c>
      <c r="D9" s="10">
        <v>1</v>
      </c>
      <c r="E9" s="12">
        <v>2</v>
      </c>
      <c r="F9" s="10" t="s">
        <v>483</v>
      </c>
      <c r="G9" s="10">
        <f t="shared" si="0"/>
        <v>2</v>
      </c>
    </row>
    <row r="10" spans="1:7" ht="140.25" x14ac:dyDescent="0.25">
      <c r="A10" s="10" t="s">
        <v>7</v>
      </c>
      <c r="B10" s="10" t="s">
        <v>24</v>
      </c>
      <c r="C10" s="10" t="s">
        <v>25</v>
      </c>
      <c r="D10" s="10">
        <v>1</v>
      </c>
      <c r="E10" s="12">
        <v>2</v>
      </c>
      <c r="F10" s="10" t="s">
        <v>226</v>
      </c>
      <c r="G10" s="10">
        <f t="shared" si="0"/>
        <v>2</v>
      </c>
    </row>
    <row r="11" spans="1:7" ht="51" x14ac:dyDescent="0.25">
      <c r="A11" s="10" t="s">
        <v>7</v>
      </c>
      <c r="B11" s="10" t="s">
        <v>26</v>
      </c>
      <c r="C11" s="10" t="s">
        <v>27</v>
      </c>
      <c r="D11" s="10">
        <v>1</v>
      </c>
      <c r="E11" s="12">
        <v>0</v>
      </c>
      <c r="F11" s="10" t="s">
        <v>473</v>
      </c>
      <c r="G11" s="10">
        <f t="shared" si="0"/>
        <v>0</v>
      </c>
    </row>
    <row r="12" spans="1:7" ht="63.75" x14ac:dyDescent="0.25">
      <c r="A12" s="10" t="s">
        <v>28</v>
      </c>
      <c r="B12" s="10" t="s">
        <v>29</v>
      </c>
      <c r="C12" s="10" t="s">
        <v>30</v>
      </c>
      <c r="D12" s="10">
        <v>3</v>
      </c>
      <c r="E12" s="12">
        <v>5</v>
      </c>
      <c r="F12" s="10" t="s">
        <v>168</v>
      </c>
      <c r="G12" s="10">
        <f t="shared" si="0"/>
        <v>15</v>
      </c>
    </row>
    <row r="13" spans="1:7" ht="76.5" x14ac:dyDescent="0.25">
      <c r="A13" s="10" t="s">
        <v>28</v>
      </c>
      <c r="B13" s="10" t="s">
        <v>31</v>
      </c>
      <c r="C13" s="10" t="s">
        <v>32</v>
      </c>
      <c r="D13" s="10">
        <v>3</v>
      </c>
      <c r="E13" s="10">
        <v>4</v>
      </c>
      <c r="F13" s="10" t="s">
        <v>127</v>
      </c>
      <c r="G13" s="10">
        <f t="shared" si="0"/>
        <v>12</v>
      </c>
    </row>
    <row r="14" spans="1:7" ht="51"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3</v>
      </c>
      <c r="F15" s="10" t="s">
        <v>546</v>
      </c>
      <c r="G15" s="10">
        <f t="shared" si="0"/>
        <v>6</v>
      </c>
    </row>
    <row r="16" spans="1:7" ht="51" x14ac:dyDescent="0.25">
      <c r="A16" s="10" t="s">
        <v>35</v>
      </c>
      <c r="B16" s="10" t="s">
        <v>38</v>
      </c>
      <c r="C16" s="10" t="s">
        <v>39</v>
      </c>
      <c r="D16" s="10">
        <v>2</v>
      </c>
      <c r="E16" s="10">
        <v>5</v>
      </c>
      <c r="F16" s="10" t="s">
        <v>228</v>
      </c>
      <c r="G16" s="10">
        <f t="shared" si="0"/>
        <v>10</v>
      </c>
    </row>
    <row r="17" spans="1:7" ht="38.25" x14ac:dyDescent="0.25">
      <c r="A17" s="10" t="s">
        <v>35</v>
      </c>
      <c r="B17" s="10" t="s">
        <v>40</v>
      </c>
      <c r="C17" s="10" t="s">
        <v>41</v>
      </c>
      <c r="D17" s="10">
        <v>2</v>
      </c>
      <c r="E17" s="10">
        <v>4</v>
      </c>
      <c r="F17" s="10" t="s">
        <v>227</v>
      </c>
      <c r="G17" s="10">
        <f t="shared" si="0"/>
        <v>8</v>
      </c>
    </row>
    <row r="18" spans="1:7" ht="102" x14ac:dyDescent="0.25">
      <c r="A18" s="10" t="s">
        <v>35</v>
      </c>
      <c r="B18" s="10" t="s">
        <v>42</v>
      </c>
      <c r="C18" s="10" t="s">
        <v>43</v>
      </c>
      <c r="D18" s="10">
        <v>2</v>
      </c>
      <c r="E18" s="10">
        <v>4</v>
      </c>
      <c r="F18" s="10" t="s">
        <v>130</v>
      </c>
      <c r="G18" s="10">
        <f t="shared" si="0"/>
        <v>8</v>
      </c>
    </row>
    <row r="19" spans="1:7" ht="102" x14ac:dyDescent="0.25">
      <c r="A19" s="10" t="s">
        <v>35</v>
      </c>
      <c r="B19" s="10" t="s">
        <v>44</v>
      </c>
      <c r="C19" s="10" t="s">
        <v>45</v>
      </c>
      <c r="D19" s="10">
        <v>2</v>
      </c>
      <c r="E19" s="10">
        <v>4</v>
      </c>
      <c r="F19" s="10" t="s">
        <v>229</v>
      </c>
      <c r="G19" s="10">
        <f t="shared" si="0"/>
        <v>8</v>
      </c>
    </row>
    <row r="20" spans="1:7" ht="76.5" x14ac:dyDescent="0.25">
      <c r="A20" s="10" t="s">
        <v>35</v>
      </c>
      <c r="B20" s="10" t="s">
        <v>46</v>
      </c>
      <c r="C20" s="10" t="s">
        <v>47</v>
      </c>
      <c r="D20" s="10">
        <v>2</v>
      </c>
      <c r="E20" s="10">
        <v>5</v>
      </c>
      <c r="F20" s="10" t="s">
        <v>230</v>
      </c>
      <c r="G20" s="10">
        <f t="shared" si="0"/>
        <v>10</v>
      </c>
    </row>
    <row r="21" spans="1:7" ht="51" x14ac:dyDescent="0.25">
      <c r="A21" s="10" t="s">
        <v>35</v>
      </c>
      <c r="B21" s="10" t="s">
        <v>48</v>
      </c>
      <c r="C21" s="10" t="s">
        <v>49</v>
      </c>
      <c r="D21" s="10">
        <v>2</v>
      </c>
      <c r="E21" s="10">
        <v>5</v>
      </c>
      <c r="F21" s="10" t="s">
        <v>133</v>
      </c>
      <c r="G21" s="10">
        <f t="shared" si="0"/>
        <v>10</v>
      </c>
    </row>
    <row r="22" spans="1:7" ht="51" x14ac:dyDescent="0.25">
      <c r="A22" s="10" t="s">
        <v>50</v>
      </c>
      <c r="B22" s="10" t="s">
        <v>51</v>
      </c>
      <c r="C22" s="10" t="s">
        <v>52</v>
      </c>
      <c r="D22" s="10">
        <v>2</v>
      </c>
      <c r="E22" s="10">
        <v>1</v>
      </c>
      <c r="F22" s="10" t="s">
        <v>89</v>
      </c>
      <c r="G22" s="10">
        <f t="shared" si="0"/>
        <v>2</v>
      </c>
    </row>
    <row r="23" spans="1:7" ht="76.5" x14ac:dyDescent="0.25">
      <c r="A23" s="10" t="s">
        <v>50</v>
      </c>
      <c r="B23" s="10" t="s">
        <v>53</v>
      </c>
      <c r="C23" s="10" t="s">
        <v>54</v>
      </c>
      <c r="D23" s="10">
        <v>2</v>
      </c>
      <c r="E23" s="10">
        <v>2</v>
      </c>
      <c r="F23" s="10" t="s">
        <v>573</v>
      </c>
      <c r="G23" s="10">
        <f t="shared" si="0"/>
        <v>4</v>
      </c>
    </row>
    <row r="24" spans="1:7" ht="127.5"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89.25" x14ac:dyDescent="0.25">
      <c r="A26" s="10" t="s">
        <v>57</v>
      </c>
      <c r="B26" s="10" t="s">
        <v>60</v>
      </c>
      <c r="C26" s="10" t="s">
        <v>61</v>
      </c>
      <c r="D26" s="10">
        <v>3</v>
      </c>
      <c r="E26" s="10">
        <v>0</v>
      </c>
      <c r="F26" s="10" t="s">
        <v>500</v>
      </c>
      <c r="G26" s="10">
        <f t="shared" si="0"/>
        <v>0</v>
      </c>
    </row>
    <row r="27" spans="1:7" ht="76.5" x14ac:dyDescent="0.25">
      <c r="A27" s="10" t="s">
        <v>57</v>
      </c>
      <c r="B27" s="10" t="s">
        <v>62</v>
      </c>
      <c r="C27" s="10" t="s">
        <v>63</v>
      </c>
      <c r="D27" s="10">
        <v>3</v>
      </c>
      <c r="E27" s="10">
        <v>0</v>
      </c>
      <c r="F27" s="10" t="s">
        <v>231</v>
      </c>
      <c r="G27" s="10">
        <f t="shared" si="0"/>
        <v>0</v>
      </c>
    </row>
    <row r="28" spans="1:7" ht="102" x14ac:dyDescent="0.25">
      <c r="A28" s="10" t="s">
        <v>57</v>
      </c>
      <c r="B28" s="10" t="s">
        <v>64</v>
      </c>
      <c r="C28" s="10" t="s">
        <v>65</v>
      </c>
      <c r="D28" s="10">
        <v>3</v>
      </c>
      <c r="E28" s="10">
        <v>0</v>
      </c>
      <c r="F28" s="10" t="s">
        <v>232</v>
      </c>
      <c r="G28" s="10">
        <f t="shared" si="0"/>
        <v>0</v>
      </c>
    </row>
    <row r="29" spans="1:7" ht="102" x14ac:dyDescent="0.25">
      <c r="A29" s="10" t="s">
        <v>57</v>
      </c>
      <c r="B29" s="10" t="s">
        <v>66</v>
      </c>
      <c r="C29" s="10" t="s">
        <v>68</v>
      </c>
      <c r="D29" s="10">
        <v>3</v>
      </c>
      <c r="E29" s="10">
        <v>0</v>
      </c>
      <c r="F29" s="10" t="s">
        <v>480</v>
      </c>
      <c r="G29" s="10">
        <f t="shared" si="0"/>
        <v>0</v>
      </c>
    </row>
    <row r="30" spans="1:7" x14ac:dyDescent="0.25">
      <c r="A30" s="35" t="s">
        <v>67</v>
      </c>
      <c r="B30" s="35"/>
      <c r="C30" s="35"/>
      <c r="D30" s="35"/>
      <c r="E30" s="35"/>
      <c r="F30" s="35"/>
      <c r="G30" s="10">
        <f>SUM(G2:G29)</f>
        <v>146</v>
      </c>
    </row>
    <row r="31" spans="1:7" x14ac:dyDescent="0.25">
      <c r="A31" s="35" t="s">
        <v>69</v>
      </c>
      <c r="B31" s="35"/>
      <c r="C31" s="35"/>
      <c r="D31" s="35"/>
      <c r="E31" s="35"/>
      <c r="F31" s="35"/>
      <c r="G31" s="10">
        <f>IF(G30&lt;54,1,IF(G30&lt;108,2,IF(G30&lt;162,3,IF(G30&lt;216,4,5))))</f>
        <v>3</v>
      </c>
    </row>
    <row r="32" spans="1:7" x14ac:dyDescent="0.25">
      <c r="A32" s="34" t="s">
        <v>72</v>
      </c>
      <c r="B32" s="34"/>
      <c r="C32" s="34"/>
      <c r="D32" s="39" t="s">
        <v>235</v>
      </c>
      <c r="E32" s="40"/>
      <c r="F32" s="40"/>
      <c r="G32" s="41"/>
    </row>
    <row r="33" spans="1:7" x14ac:dyDescent="0.25">
      <c r="A33" s="34" t="s">
        <v>73</v>
      </c>
      <c r="B33" s="34"/>
      <c r="C33" s="34"/>
      <c r="D33" s="42" t="s">
        <v>233</v>
      </c>
      <c r="E33" s="35"/>
      <c r="F33" s="35"/>
      <c r="G33" s="35"/>
    </row>
    <row r="34" spans="1:7" x14ac:dyDescent="0.25">
      <c r="A34" s="34" t="s">
        <v>91</v>
      </c>
      <c r="B34" s="34"/>
      <c r="C34" s="34"/>
      <c r="D34" s="39" t="s">
        <v>234</v>
      </c>
      <c r="E34" s="40"/>
      <c r="F34" s="40"/>
      <c r="G34" s="41"/>
    </row>
  </sheetData>
  <mergeCells count="8">
    <mergeCell ref="A34:C34"/>
    <mergeCell ref="A33:C33"/>
    <mergeCell ref="A32:C32"/>
    <mergeCell ref="A30:F30"/>
    <mergeCell ref="A31:F31"/>
    <mergeCell ref="D33:G33"/>
    <mergeCell ref="D32:G32"/>
    <mergeCell ref="D34:G34"/>
  </mergeCells>
  <hyperlinks>
    <hyperlink ref="D33" r:id="rId1" xr:uid="{7DFFB9D3-3819-4E17-A313-85F4056D3FED}"/>
    <hyperlink ref="D34" r:id="rId2" xr:uid="{515D3B1F-2375-4C9F-B59D-A2E97F49D965}"/>
    <hyperlink ref="D32" r:id="rId3" xr:uid="{D30E90FA-A3F8-4779-A825-0C816155B5D5}"/>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34"/>
  <sheetViews>
    <sheetView topLeftCell="A18" zoomScale="130" zoomScaleNormal="130" workbookViewId="0">
      <selection activeCell="F17" sqref="F17"/>
    </sheetView>
  </sheetViews>
  <sheetFormatPr defaultRowHeight="12.75" x14ac:dyDescent="0.25"/>
  <cols>
    <col min="1" max="1" width="18.28515625" style="15" customWidth="1"/>
    <col min="2" max="2" width="4" style="15" bestFit="1" customWidth="1"/>
    <col min="3" max="3" width="15" style="15" customWidth="1"/>
    <col min="4" max="4" width="4.7109375" style="15" bestFit="1" customWidth="1"/>
    <col min="5" max="5" width="5.42578125" style="15" customWidth="1"/>
    <col min="6" max="6" width="82.42578125" style="15" customWidth="1"/>
    <col min="7" max="7" width="5" style="15" bestFit="1" customWidth="1"/>
    <col min="8" max="16384" width="9.140625" style="15"/>
  </cols>
  <sheetData>
    <row r="1" spans="1:7" ht="25.5" x14ac:dyDescent="0.25">
      <c r="A1" s="8" t="s">
        <v>0</v>
      </c>
      <c r="B1" s="8" t="s">
        <v>1</v>
      </c>
      <c r="C1" s="8" t="s">
        <v>2</v>
      </c>
      <c r="D1" s="8" t="s">
        <v>3</v>
      </c>
      <c r="E1" s="8" t="s">
        <v>4</v>
      </c>
      <c r="F1" s="8" t="s">
        <v>250</v>
      </c>
      <c r="G1" s="8" t="s">
        <v>6</v>
      </c>
    </row>
    <row r="2" spans="1:7" ht="140.25" x14ac:dyDescent="0.25">
      <c r="A2" s="10" t="s">
        <v>7</v>
      </c>
      <c r="B2" s="10" t="s">
        <v>8</v>
      </c>
      <c r="C2" s="10" t="s">
        <v>9</v>
      </c>
      <c r="D2" s="10">
        <v>1</v>
      </c>
      <c r="E2" s="10">
        <v>1</v>
      </c>
      <c r="F2" s="10" t="s">
        <v>236</v>
      </c>
      <c r="G2" s="10">
        <f>D2*E2</f>
        <v>1</v>
      </c>
    </row>
    <row r="3" spans="1:7" ht="63.75" x14ac:dyDescent="0.25">
      <c r="A3" s="10" t="s">
        <v>7</v>
      </c>
      <c r="B3" s="10" t="s">
        <v>10</v>
      </c>
      <c r="C3" s="10" t="s">
        <v>11</v>
      </c>
      <c r="D3" s="10">
        <v>1</v>
      </c>
      <c r="E3" s="10">
        <v>5</v>
      </c>
      <c r="F3" s="10" t="s">
        <v>237</v>
      </c>
      <c r="G3" s="10">
        <f t="shared" ref="G3:G29" si="0">D3*E3</f>
        <v>5</v>
      </c>
    </row>
    <row r="4" spans="1:7" ht="114.75" x14ac:dyDescent="0.25">
      <c r="A4" s="10" t="s">
        <v>7</v>
      </c>
      <c r="B4" s="10" t="s">
        <v>12</v>
      </c>
      <c r="C4" s="10" t="s">
        <v>13</v>
      </c>
      <c r="D4" s="10">
        <v>1</v>
      </c>
      <c r="E4" s="10">
        <v>4</v>
      </c>
      <c r="F4" s="10" t="s">
        <v>238</v>
      </c>
      <c r="G4" s="10">
        <f t="shared" si="0"/>
        <v>4</v>
      </c>
    </row>
    <row r="5" spans="1:7" ht="89.25" x14ac:dyDescent="0.25">
      <c r="A5" s="10" t="s">
        <v>7</v>
      </c>
      <c r="B5" s="10" t="s">
        <v>14</v>
      </c>
      <c r="C5" s="10" t="s">
        <v>15</v>
      </c>
      <c r="D5" s="10">
        <v>1</v>
      </c>
      <c r="E5" s="10">
        <v>5</v>
      </c>
      <c r="F5" s="10" t="s">
        <v>478</v>
      </c>
      <c r="G5" s="10">
        <f t="shared" si="0"/>
        <v>5</v>
      </c>
    </row>
    <row r="6" spans="1:7" ht="51" x14ac:dyDescent="0.25">
      <c r="A6" s="10" t="s">
        <v>7</v>
      </c>
      <c r="B6" s="10" t="s">
        <v>16</v>
      </c>
      <c r="C6" s="10" t="s">
        <v>17</v>
      </c>
      <c r="D6" s="10">
        <v>1</v>
      </c>
      <c r="E6" s="10">
        <v>5</v>
      </c>
      <c r="F6" s="10" t="s">
        <v>524</v>
      </c>
      <c r="G6" s="10">
        <f t="shared" si="0"/>
        <v>5</v>
      </c>
    </row>
    <row r="7" spans="1:7" ht="89.25" x14ac:dyDescent="0.25">
      <c r="A7" s="10" t="s">
        <v>7</v>
      </c>
      <c r="B7" s="10" t="s">
        <v>18</v>
      </c>
      <c r="C7" s="10" t="s">
        <v>19</v>
      </c>
      <c r="D7" s="10">
        <v>1</v>
      </c>
      <c r="E7" s="10">
        <v>5</v>
      </c>
      <c r="F7" s="10" t="s">
        <v>239</v>
      </c>
      <c r="G7" s="10">
        <f t="shared" si="0"/>
        <v>5</v>
      </c>
    </row>
    <row r="8" spans="1:7" ht="127.5" x14ac:dyDescent="0.25">
      <c r="A8" s="10" t="s">
        <v>7</v>
      </c>
      <c r="B8" s="10" t="s">
        <v>20</v>
      </c>
      <c r="C8" s="10" t="s">
        <v>21</v>
      </c>
      <c r="D8" s="10">
        <v>1</v>
      </c>
      <c r="E8" s="10">
        <v>2</v>
      </c>
      <c r="F8" s="10" t="s">
        <v>240</v>
      </c>
      <c r="G8" s="10">
        <f t="shared" si="0"/>
        <v>2</v>
      </c>
    </row>
    <row r="9" spans="1:7" ht="140.25" x14ac:dyDescent="0.25">
      <c r="A9" s="10" t="s">
        <v>7</v>
      </c>
      <c r="B9" s="10" t="s">
        <v>22</v>
      </c>
      <c r="C9" s="10" t="s">
        <v>23</v>
      </c>
      <c r="D9" s="10">
        <v>1</v>
      </c>
      <c r="E9" s="12">
        <v>2</v>
      </c>
      <c r="F9" s="10" t="s">
        <v>483</v>
      </c>
      <c r="G9" s="10">
        <f t="shared" si="0"/>
        <v>2</v>
      </c>
    </row>
    <row r="10" spans="1:7" ht="191.25" x14ac:dyDescent="0.25">
      <c r="A10" s="10" t="s">
        <v>7</v>
      </c>
      <c r="B10" s="10" t="s">
        <v>24</v>
      </c>
      <c r="C10" s="10" t="s">
        <v>25</v>
      </c>
      <c r="D10" s="10">
        <v>1</v>
      </c>
      <c r="E10" s="12">
        <v>2</v>
      </c>
      <c r="F10" s="10" t="s">
        <v>243</v>
      </c>
      <c r="G10" s="10">
        <f t="shared" si="0"/>
        <v>2</v>
      </c>
    </row>
    <row r="11" spans="1:7" ht="76.5" x14ac:dyDescent="0.25">
      <c r="A11" s="10" t="s">
        <v>7</v>
      </c>
      <c r="B11" s="10" t="s">
        <v>26</v>
      </c>
      <c r="C11" s="10" t="s">
        <v>27</v>
      </c>
      <c r="D11" s="10">
        <v>1</v>
      </c>
      <c r="E11" s="12">
        <v>0</v>
      </c>
      <c r="F11" s="10" t="s">
        <v>473</v>
      </c>
      <c r="G11" s="10">
        <f t="shared" si="0"/>
        <v>0</v>
      </c>
    </row>
    <row r="12" spans="1:7" ht="89.25" x14ac:dyDescent="0.25">
      <c r="A12" s="10" t="s">
        <v>28</v>
      </c>
      <c r="B12" s="10" t="s">
        <v>29</v>
      </c>
      <c r="C12" s="10" t="s">
        <v>30</v>
      </c>
      <c r="D12" s="10">
        <v>3</v>
      </c>
      <c r="E12" s="12">
        <v>5</v>
      </c>
      <c r="F12" s="10" t="s">
        <v>169</v>
      </c>
      <c r="G12" s="10">
        <f t="shared" si="0"/>
        <v>15</v>
      </c>
    </row>
    <row r="13" spans="1:7" ht="102"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127.5" x14ac:dyDescent="0.25">
      <c r="A15" s="10" t="s">
        <v>35</v>
      </c>
      <c r="B15" s="10" t="s">
        <v>36</v>
      </c>
      <c r="C15" s="10" t="s">
        <v>37</v>
      </c>
      <c r="D15" s="10">
        <v>2</v>
      </c>
      <c r="E15" s="10">
        <v>3</v>
      </c>
      <c r="F15" s="10" t="s">
        <v>547</v>
      </c>
      <c r="G15" s="10">
        <f t="shared" si="0"/>
        <v>6</v>
      </c>
    </row>
    <row r="16" spans="1:7" ht="76.5" x14ac:dyDescent="0.25">
      <c r="A16" s="10" t="s">
        <v>35</v>
      </c>
      <c r="B16" s="10" t="s">
        <v>38</v>
      </c>
      <c r="C16" s="10" t="s">
        <v>39</v>
      </c>
      <c r="D16" s="10">
        <v>2</v>
      </c>
      <c r="E16" s="10">
        <v>0</v>
      </c>
      <c r="F16" s="10" t="s">
        <v>530</v>
      </c>
      <c r="G16" s="10">
        <f t="shared" si="0"/>
        <v>0</v>
      </c>
    </row>
    <row r="17" spans="1:7" ht="63.75" x14ac:dyDescent="0.25">
      <c r="A17" s="10" t="s">
        <v>35</v>
      </c>
      <c r="B17" s="10" t="s">
        <v>40</v>
      </c>
      <c r="C17" s="10" t="s">
        <v>41</v>
      </c>
      <c r="D17" s="10">
        <v>2</v>
      </c>
      <c r="E17" s="10">
        <v>3</v>
      </c>
      <c r="F17" s="10" t="s">
        <v>567</v>
      </c>
      <c r="G17" s="10">
        <f t="shared" si="0"/>
        <v>6</v>
      </c>
    </row>
    <row r="18" spans="1:7" ht="140.25" x14ac:dyDescent="0.25">
      <c r="A18" s="10" t="s">
        <v>35</v>
      </c>
      <c r="B18" s="10" t="s">
        <v>42</v>
      </c>
      <c r="C18" s="10" t="s">
        <v>43</v>
      </c>
      <c r="D18" s="10">
        <v>2</v>
      </c>
      <c r="E18" s="10">
        <v>4</v>
      </c>
      <c r="F18" s="10" t="s">
        <v>130</v>
      </c>
      <c r="G18" s="10">
        <f t="shared" si="0"/>
        <v>8</v>
      </c>
    </row>
    <row r="19" spans="1:7" ht="89.25" x14ac:dyDescent="0.25">
      <c r="A19" s="10" t="s">
        <v>35</v>
      </c>
      <c r="B19" s="10" t="s">
        <v>44</v>
      </c>
      <c r="C19" s="10" t="s">
        <v>45</v>
      </c>
      <c r="D19" s="10">
        <v>2</v>
      </c>
      <c r="E19" s="10">
        <v>4</v>
      </c>
      <c r="F19" s="10" t="s">
        <v>260</v>
      </c>
      <c r="G19" s="10">
        <f t="shared" si="0"/>
        <v>8</v>
      </c>
    </row>
    <row r="20" spans="1:7" ht="89.25" x14ac:dyDescent="0.25">
      <c r="A20" s="10" t="s">
        <v>35</v>
      </c>
      <c r="B20" s="10" t="s">
        <v>46</v>
      </c>
      <c r="C20" s="10" t="s">
        <v>47</v>
      </c>
      <c r="D20" s="10">
        <v>2</v>
      </c>
      <c r="E20" s="10">
        <v>5</v>
      </c>
      <c r="F20" s="10" t="s">
        <v>244</v>
      </c>
      <c r="G20" s="10">
        <f t="shared" si="0"/>
        <v>10</v>
      </c>
    </row>
    <row r="21" spans="1:7" ht="76.5" x14ac:dyDescent="0.25">
      <c r="A21" s="10" t="s">
        <v>35</v>
      </c>
      <c r="B21" s="10" t="s">
        <v>48</v>
      </c>
      <c r="C21" s="10" t="s">
        <v>49</v>
      </c>
      <c r="D21" s="10">
        <v>2</v>
      </c>
      <c r="E21" s="10">
        <v>5</v>
      </c>
      <c r="F21" s="10" t="s">
        <v>81</v>
      </c>
      <c r="G21" s="10">
        <f t="shared" si="0"/>
        <v>10</v>
      </c>
    </row>
    <row r="22" spans="1:7" ht="153" x14ac:dyDescent="0.25">
      <c r="A22" s="10" t="s">
        <v>50</v>
      </c>
      <c r="B22" s="10" t="s">
        <v>51</v>
      </c>
      <c r="C22" s="10" t="s">
        <v>52</v>
      </c>
      <c r="D22" s="10">
        <v>2</v>
      </c>
      <c r="E22" s="10">
        <v>1</v>
      </c>
      <c r="F22" s="10" t="s">
        <v>372</v>
      </c>
      <c r="G22" s="10">
        <f t="shared" si="0"/>
        <v>2</v>
      </c>
    </row>
    <row r="23" spans="1:7" ht="102" x14ac:dyDescent="0.25">
      <c r="A23" s="10" t="s">
        <v>50</v>
      </c>
      <c r="B23" s="10" t="s">
        <v>53</v>
      </c>
      <c r="C23" s="10" t="s">
        <v>54</v>
      </c>
      <c r="D23" s="10">
        <v>2</v>
      </c>
      <c r="E23" s="10">
        <v>2</v>
      </c>
      <c r="F23" s="10" t="s">
        <v>459</v>
      </c>
      <c r="G23" s="10">
        <f t="shared" si="0"/>
        <v>4</v>
      </c>
    </row>
    <row r="24" spans="1:7" ht="178.5"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102" x14ac:dyDescent="0.25">
      <c r="A26" s="10" t="s">
        <v>57</v>
      </c>
      <c r="B26" s="10" t="s">
        <v>60</v>
      </c>
      <c r="C26" s="10" t="s">
        <v>61</v>
      </c>
      <c r="D26" s="10">
        <v>3</v>
      </c>
      <c r="E26" s="10">
        <v>0</v>
      </c>
      <c r="F26" s="10" t="s">
        <v>501</v>
      </c>
      <c r="G26" s="10">
        <f t="shared" si="0"/>
        <v>0</v>
      </c>
    </row>
    <row r="27" spans="1:7" ht="127.5" x14ac:dyDescent="0.25">
      <c r="A27" s="10" t="s">
        <v>57</v>
      </c>
      <c r="B27" s="10" t="s">
        <v>62</v>
      </c>
      <c r="C27" s="10" t="s">
        <v>63</v>
      </c>
      <c r="D27" s="10">
        <v>3</v>
      </c>
      <c r="E27" s="10">
        <v>0</v>
      </c>
      <c r="F27" s="10" t="s">
        <v>245</v>
      </c>
      <c r="G27" s="10">
        <f t="shared" si="0"/>
        <v>0</v>
      </c>
    </row>
    <row r="28" spans="1:7" ht="127.5" x14ac:dyDescent="0.25">
      <c r="A28" s="10" t="s">
        <v>57</v>
      </c>
      <c r="B28" s="10" t="s">
        <v>64</v>
      </c>
      <c r="C28" s="10" t="s">
        <v>65</v>
      </c>
      <c r="D28" s="10">
        <v>3</v>
      </c>
      <c r="E28" s="10">
        <v>0</v>
      </c>
      <c r="F28" s="10" t="s">
        <v>246</v>
      </c>
      <c r="G28" s="10">
        <f t="shared" si="0"/>
        <v>0</v>
      </c>
    </row>
    <row r="29" spans="1:7" ht="102" x14ac:dyDescent="0.25">
      <c r="A29" s="10" t="s">
        <v>57</v>
      </c>
      <c r="B29" s="10" t="s">
        <v>66</v>
      </c>
      <c r="C29" s="10" t="s">
        <v>68</v>
      </c>
      <c r="D29" s="10">
        <v>3</v>
      </c>
      <c r="E29" s="10">
        <v>0</v>
      </c>
      <c r="F29" s="10" t="s">
        <v>484</v>
      </c>
      <c r="G29" s="10">
        <f t="shared" si="0"/>
        <v>0</v>
      </c>
    </row>
    <row r="30" spans="1:7" x14ac:dyDescent="0.25">
      <c r="A30" s="43" t="s">
        <v>67</v>
      </c>
      <c r="B30" s="44"/>
      <c r="C30" s="44"/>
      <c r="D30" s="44"/>
      <c r="E30" s="44"/>
      <c r="F30" s="45"/>
      <c r="G30" s="10">
        <f>SUM(G2:G29)</f>
        <v>127</v>
      </c>
    </row>
    <row r="31" spans="1:7" x14ac:dyDescent="0.25">
      <c r="A31" s="43" t="s">
        <v>69</v>
      </c>
      <c r="B31" s="44"/>
      <c r="C31" s="44"/>
      <c r="D31" s="44"/>
      <c r="E31" s="44"/>
      <c r="F31" s="45"/>
      <c r="G31" s="10">
        <f>IF(G30&lt;54,1,IF(G30&lt;108,2,IF(G30&lt;162,3,IF(G30&lt;216,4,5))))</f>
        <v>3</v>
      </c>
    </row>
    <row r="32" spans="1:7" x14ac:dyDescent="0.25">
      <c r="A32" s="34" t="s">
        <v>72</v>
      </c>
      <c r="B32" s="34"/>
      <c r="C32" s="34"/>
      <c r="D32" s="42" t="s">
        <v>247</v>
      </c>
      <c r="E32" s="35"/>
      <c r="F32" s="35"/>
      <c r="G32" s="35"/>
    </row>
    <row r="33" spans="1:7" x14ac:dyDescent="0.25">
      <c r="A33" s="34" t="s">
        <v>73</v>
      </c>
      <c r="B33" s="34"/>
      <c r="C33" s="34"/>
      <c r="D33" s="42" t="s">
        <v>248</v>
      </c>
      <c r="E33" s="35"/>
      <c r="F33" s="35"/>
      <c r="G33" s="35"/>
    </row>
    <row r="34" spans="1:7" x14ac:dyDescent="0.25">
      <c r="A34" s="34" t="s">
        <v>91</v>
      </c>
      <c r="B34" s="34"/>
      <c r="C34" s="34"/>
      <c r="D34" s="42" t="s">
        <v>249</v>
      </c>
      <c r="E34" s="35"/>
      <c r="F34" s="35"/>
      <c r="G34" s="35"/>
    </row>
  </sheetData>
  <mergeCells count="8">
    <mergeCell ref="A30:F30"/>
    <mergeCell ref="A31:F31"/>
    <mergeCell ref="A32:C32"/>
    <mergeCell ref="A33:C33"/>
    <mergeCell ref="A34:C34"/>
    <mergeCell ref="D32:G32"/>
    <mergeCell ref="D33:G33"/>
    <mergeCell ref="D34:G34"/>
  </mergeCells>
  <hyperlinks>
    <hyperlink ref="D32" r:id="rId1" xr:uid="{BA012877-C720-4C34-B92A-C32B17FB2093}"/>
    <hyperlink ref="D33" r:id="rId2" xr:uid="{1EA37200-6BE7-4782-8E9A-18A19ABA2B63}"/>
    <hyperlink ref="D34" r:id="rId3" xr:uid="{1EA78861-8F44-4E3D-BA93-E2A63F6B764F}"/>
  </hyperlinks>
  <pageMargins left="0.75" right="0.75" top="1" bottom="1" header="0.5" footer="0.5"/>
  <pageSetup paperSize="9" orientation="portrait"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4"/>
  <sheetViews>
    <sheetView topLeftCell="A16" zoomScale="115" zoomScaleNormal="115" workbookViewId="0">
      <selection activeCell="F23" sqref="F23"/>
    </sheetView>
  </sheetViews>
  <sheetFormatPr defaultRowHeight="15" x14ac:dyDescent="0.25"/>
  <cols>
    <col min="1" max="1" width="14.85546875" style="2" customWidth="1"/>
    <col min="2" max="2" width="4.28515625" style="2" bestFit="1" customWidth="1"/>
    <col min="3" max="3" width="23" style="2" customWidth="1"/>
    <col min="4" max="4" width="5.28515625" style="2" bestFit="1" customWidth="1"/>
    <col min="5" max="5" width="5.7109375" style="2" customWidth="1"/>
    <col min="6" max="6" width="95.85546875" style="2" customWidth="1"/>
    <col min="7" max="7" width="5.42578125" style="2" bestFit="1" customWidth="1"/>
    <col min="8" max="16384" width="9.140625" style="2"/>
  </cols>
  <sheetData>
    <row r="1" spans="1:7" ht="25.5" x14ac:dyDescent="0.25">
      <c r="A1" s="8" t="s">
        <v>0</v>
      </c>
      <c r="B1" s="8" t="s">
        <v>1</v>
      </c>
      <c r="C1" s="8" t="s">
        <v>2</v>
      </c>
      <c r="D1" s="8" t="s">
        <v>3</v>
      </c>
      <c r="E1" s="8" t="s">
        <v>4</v>
      </c>
      <c r="F1" s="8" t="s">
        <v>5</v>
      </c>
      <c r="G1" s="8" t="s">
        <v>6</v>
      </c>
    </row>
    <row r="2" spans="1:7" ht="102" x14ac:dyDescent="0.25">
      <c r="A2" s="10" t="s">
        <v>7</v>
      </c>
      <c r="B2" s="10" t="s">
        <v>8</v>
      </c>
      <c r="C2" s="10" t="s">
        <v>9</v>
      </c>
      <c r="D2" s="10">
        <v>1</v>
      </c>
      <c r="E2" s="10">
        <v>1</v>
      </c>
      <c r="F2" s="10" t="s">
        <v>523</v>
      </c>
      <c r="G2" s="10">
        <f>E2*D2</f>
        <v>1</v>
      </c>
    </row>
    <row r="3" spans="1:7" ht="51" x14ac:dyDescent="0.25">
      <c r="A3" s="10" t="s">
        <v>7</v>
      </c>
      <c r="B3" s="10" t="s">
        <v>10</v>
      </c>
      <c r="C3" s="10" t="s">
        <v>11</v>
      </c>
      <c r="D3" s="10">
        <v>1</v>
      </c>
      <c r="E3" s="10">
        <v>5</v>
      </c>
      <c r="F3" s="10" t="s">
        <v>255</v>
      </c>
      <c r="G3" s="10">
        <f t="shared" ref="G3:G29" si="0">E3*D3</f>
        <v>5</v>
      </c>
    </row>
    <row r="4" spans="1:7" ht="51" x14ac:dyDescent="0.25">
      <c r="A4" s="10" t="s">
        <v>7</v>
      </c>
      <c r="B4" s="10" t="s">
        <v>12</v>
      </c>
      <c r="C4" s="10" t="s">
        <v>13</v>
      </c>
      <c r="D4" s="10">
        <v>1</v>
      </c>
      <c r="E4" s="10">
        <v>5</v>
      </c>
      <c r="F4" s="10" t="s">
        <v>256</v>
      </c>
      <c r="G4" s="10">
        <f t="shared" si="0"/>
        <v>5</v>
      </c>
    </row>
    <row r="5" spans="1:7" ht="63.75" x14ac:dyDescent="0.25">
      <c r="A5" s="10" t="s">
        <v>7</v>
      </c>
      <c r="B5" s="10" t="s">
        <v>14</v>
      </c>
      <c r="C5" s="10" t="s">
        <v>15</v>
      </c>
      <c r="D5" s="10">
        <v>1</v>
      </c>
      <c r="E5" s="10">
        <v>5</v>
      </c>
      <c r="F5" s="10" t="s">
        <v>254</v>
      </c>
      <c r="G5" s="10">
        <f t="shared" si="0"/>
        <v>5</v>
      </c>
    </row>
    <row r="6" spans="1:7" ht="38.25" x14ac:dyDescent="0.25">
      <c r="A6" s="10" t="s">
        <v>7</v>
      </c>
      <c r="B6" s="10" t="s">
        <v>16</v>
      </c>
      <c r="C6" s="10" t="s">
        <v>17</v>
      </c>
      <c r="D6" s="10">
        <v>1</v>
      </c>
      <c r="E6" s="10">
        <v>5</v>
      </c>
      <c r="F6" s="10" t="s">
        <v>524</v>
      </c>
      <c r="G6" s="10">
        <f t="shared" si="0"/>
        <v>5</v>
      </c>
    </row>
    <row r="7" spans="1:7" ht="63.75" x14ac:dyDescent="0.25">
      <c r="A7" s="10" t="s">
        <v>7</v>
      </c>
      <c r="B7" s="10" t="s">
        <v>18</v>
      </c>
      <c r="C7" s="10" t="s">
        <v>19</v>
      </c>
      <c r="D7" s="10">
        <v>1</v>
      </c>
      <c r="E7" s="10">
        <v>5</v>
      </c>
      <c r="F7" s="10" t="s">
        <v>257</v>
      </c>
      <c r="G7" s="10">
        <f t="shared" si="0"/>
        <v>5</v>
      </c>
    </row>
    <row r="8" spans="1:7" ht="102" x14ac:dyDescent="0.25">
      <c r="A8" s="10" t="s">
        <v>7</v>
      </c>
      <c r="B8" s="10" t="s">
        <v>20</v>
      </c>
      <c r="C8" s="10" t="s">
        <v>21</v>
      </c>
      <c r="D8" s="10">
        <v>1</v>
      </c>
      <c r="E8" s="10">
        <v>2</v>
      </c>
      <c r="F8" s="10" t="s">
        <v>240</v>
      </c>
      <c r="G8" s="10">
        <f t="shared" si="0"/>
        <v>2</v>
      </c>
    </row>
    <row r="9" spans="1:7" ht="140.25" x14ac:dyDescent="0.25">
      <c r="A9" s="10" t="s">
        <v>7</v>
      </c>
      <c r="B9" s="10" t="s">
        <v>22</v>
      </c>
      <c r="C9" s="10" t="s">
        <v>23</v>
      </c>
      <c r="D9" s="10">
        <v>1</v>
      </c>
      <c r="E9" s="12">
        <v>2</v>
      </c>
      <c r="F9" s="10" t="s">
        <v>483</v>
      </c>
      <c r="G9" s="10">
        <f t="shared" si="0"/>
        <v>2</v>
      </c>
    </row>
    <row r="10" spans="1:7" ht="165.75" x14ac:dyDescent="0.25">
      <c r="A10" s="10" t="s">
        <v>7</v>
      </c>
      <c r="B10" s="10" t="s">
        <v>24</v>
      </c>
      <c r="C10" s="10" t="s">
        <v>25</v>
      </c>
      <c r="D10" s="10">
        <v>1</v>
      </c>
      <c r="E10" s="12">
        <v>2</v>
      </c>
      <c r="F10" s="10" t="s">
        <v>258</v>
      </c>
      <c r="G10" s="10">
        <f t="shared" si="0"/>
        <v>2</v>
      </c>
    </row>
    <row r="11" spans="1:7" ht="63.75"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170</v>
      </c>
      <c r="G12" s="10">
        <f t="shared" si="0"/>
        <v>15</v>
      </c>
    </row>
    <row r="13" spans="1:7" ht="89.2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3</v>
      </c>
      <c r="F15" s="10" t="s">
        <v>548</v>
      </c>
      <c r="G15" s="10">
        <f t="shared" si="0"/>
        <v>6</v>
      </c>
    </row>
    <row r="16" spans="1:7" ht="89.25" x14ac:dyDescent="0.25">
      <c r="A16" s="10" t="s">
        <v>35</v>
      </c>
      <c r="B16" s="10" t="s">
        <v>38</v>
      </c>
      <c r="C16" s="10" t="s">
        <v>39</v>
      </c>
      <c r="D16" s="10">
        <v>2</v>
      </c>
      <c r="E16" s="10">
        <v>0</v>
      </c>
      <c r="F16" s="10" t="s">
        <v>502</v>
      </c>
      <c r="G16" s="10">
        <f t="shared" si="0"/>
        <v>0</v>
      </c>
    </row>
    <row r="17" spans="1:7" ht="63.75" x14ac:dyDescent="0.25">
      <c r="A17" s="10" t="s">
        <v>35</v>
      </c>
      <c r="B17" s="10" t="s">
        <v>40</v>
      </c>
      <c r="C17" s="10" t="s">
        <v>41</v>
      </c>
      <c r="D17" s="10">
        <v>2</v>
      </c>
      <c r="E17" s="10">
        <v>3</v>
      </c>
      <c r="F17" s="10" t="s">
        <v>259</v>
      </c>
      <c r="G17" s="10">
        <f t="shared" si="0"/>
        <v>6</v>
      </c>
    </row>
    <row r="18" spans="1:7" ht="114.75" x14ac:dyDescent="0.25">
      <c r="A18" s="10" t="s">
        <v>35</v>
      </c>
      <c r="B18" s="10" t="s">
        <v>42</v>
      </c>
      <c r="C18" s="10" t="s">
        <v>43</v>
      </c>
      <c r="D18" s="10">
        <v>2</v>
      </c>
      <c r="E18" s="10">
        <v>4</v>
      </c>
      <c r="F18" s="10" t="s">
        <v>130</v>
      </c>
      <c r="G18" s="10">
        <f t="shared" si="0"/>
        <v>8</v>
      </c>
    </row>
    <row r="19" spans="1:7" ht="89.25" x14ac:dyDescent="0.25">
      <c r="A19" s="10" t="s">
        <v>35</v>
      </c>
      <c r="B19" s="10" t="s">
        <v>44</v>
      </c>
      <c r="C19" s="10" t="s">
        <v>45</v>
      </c>
      <c r="D19" s="10">
        <v>2</v>
      </c>
      <c r="E19" s="10">
        <v>4</v>
      </c>
      <c r="F19" s="10" t="s">
        <v>261</v>
      </c>
      <c r="G19" s="10">
        <f t="shared" si="0"/>
        <v>8</v>
      </c>
    </row>
    <row r="20" spans="1:7" ht="89.25" x14ac:dyDescent="0.25">
      <c r="A20" s="10" t="s">
        <v>35</v>
      </c>
      <c r="B20" s="10" t="s">
        <v>46</v>
      </c>
      <c r="C20" s="10" t="s">
        <v>47</v>
      </c>
      <c r="D20" s="10">
        <v>2</v>
      </c>
      <c r="E20" s="10">
        <v>5</v>
      </c>
      <c r="F20" s="10" t="s">
        <v>262</v>
      </c>
      <c r="G20" s="10">
        <f t="shared" si="0"/>
        <v>10</v>
      </c>
    </row>
    <row r="21" spans="1:7" ht="51" x14ac:dyDescent="0.25">
      <c r="A21" s="10" t="s">
        <v>35</v>
      </c>
      <c r="B21" s="10" t="s">
        <v>48</v>
      </c>
      <c r="C21" s="10" t="s">
        <v>49</v>
      </c>
      <c r="D21" s="10">
        <v>2</v>
      </c>
      <c r="E21" s="10">
        <v>5</v>
      </c>
      <c r="F21" s="10" t="s">
        <v>82</v>
      </c>
      <c r="G21" s="10">
        <f t="shared" si="0"/>
        <v>10</v>
      </c>
    </row>
    <row r="22" spans="1:7" ht="127.5" x14ac:dyDescent="0.25">
      <c r="A22" s="10" t="s">
        <v>50</v>
      </c>
      <c r="B22" s="10" t="s">
        <v>51</v>
      </c>
      <c r="C22" s="10" t="s">
        <v>52</v>
      </c>
      <c r="D22" s="10">
        <v>2</v>
      </c>
      <c r="E22" s="10">
        <v>1</v>
      </c>
      <c r="F22" s="10" t="s">
        <v>372</v>
      </c>
      <c r="G22" s="10">
        <f t="shared" si="0"/>
        <v>2</v>
      </c>
    </row>
    <row r="23" spans="1:7" ht="76.5" x14ac:dyDescent="0.25">
      <c r="A23" s="10" t="s">
        <v>50</v>
      </c>
      <c r="B23" s="10" t="s">
        <v>53</v>
      </c>
      <c r="C23" s="10" t="s">
        <v>54</v>
      </c>
      <c r="D23" s="10">
        <v>2</v>
      </c>
      <c r="E23" s="10">
        <v>2</v>
      </c>
      <c r="F23" s="10" t="s">
        <v>263</v>
      </c>
      <c r="G23" s="10">
        <f t="shared" si="0"/>
        <v>4</v>
      </c>
    </row>
    <row r="24" spans="1:7" ht="153"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89.25" x14ac:dyDescent="0.25">
      <c r="A26" s="10" t="s">
        <v>57</v>
      </c>
      <c r="B26" s="10" t="s">
        <v>60</v>
      </c>
      <c r="C26" s="10" t="s">
        <v>61</v>
      </c>
      <c r="D26" s="10">
        <v>3</v>
      </c>
      <c r="E26" s="10">
        <v>0</v>
      </c>
      <c r="F26" s="10" t="s">
        <v>264</v>
      </c>
      <c r="G26" s="10">
        <f t="shared" si="0"/>
        <v>0</v>
      </c>
    </row>
    <row r="27" spans="1:7" ht="114.75" x14ac:dyDescent="0.25">
      <c r="A27" s="10" t="s">
        <v>57</v>
      </c>
      <c r="B27" s="10" t="s">
        <v>62</v>
      </c>
      <c r="C27" s="10" t="s">
        <v>63</v>
      </c>
      <c r="D27" s="10">
        <v>3</v>
      </c>
      <c r="E27" s="10">
        <v>0</v>
      </c>
      <c r="F27" s="10" t="s">
        <v>503</v>
      </c>
      <c r="G27" s="10">
        <f t="shared" si="0"/>
        <v>0</v>
      </c>
    </row>
    <row r="28" spans="1:7" ht="114.75" x14ac:dyDescent="0.25">
      <c r="A28" s="10" t="s">
        <v>57</v>
      </c>
      <c r="B28" s="10" t="s">
        <v>64</v>
      </c>
      <c r="C28" s="10" t="s">
        <v>65</v>
      </c>
      <c r="D28" s="10">
        <v>3</v>
      </c>
      <c r="E28" s="10">
        <v>0</v>
      </c>
      <c r="F28" s="10" t="s">
        <v>265</v>
      </c>
      <c r="G28" s="10">
        <f t="shared" si="0"/>
        <v>0</v>
      </c>
    </row>
    <row r="29" spans="1:7" ht="76.5" x14ac:dyDescent="0.25">
      <c r="A29" s="10" t="s">
        <v>57</v>
      </c>
      <c r="B29" s="10" t="s">
        <v>66</v>
      </c>
      <c r="C29" s="10" t="s">
        <v>68</v>
      </c>
      <c r="D29" s="10">
        <v>3</v>
      </c>
      <c r="E29" s="10">
        <v>0</v>
      </c>
      <c r="F29" s="10" t="s">
        <v>266</v>
      </c>
      <c r="G29" s="10">
        <f t="shared" si="0"/>
        <v>0</v>
      </c>
    </row>
    <row r="30" spans="1:7" x14ac:dyDescent="0.25">
      <c r="A30" s="43" t="s">
        <v>67</v>
      </c>
      <c r="B30" s="44"/>
      <c r="C30" s="44"/>
      <c r="D30" s="44"/>
      <c r="E30" s="44"/>
      <c r="F30" s="45"/>
      <c r="G30" s="10">
        <f>SUM(G2:G29)</f>
        <v>128</v>
      </c>
    </row>
    <row r="31" spans="1:7" x14ac:dyDescent="0.25">
      <c r="A31" s="43" t="s">
        <v>69</v>
      </c>
      <c r="B31" s="44"/>
      <c r="C31" s="44"/>
      <c r="D31" s="44"/>
      <c r="E31" s="44"/>
      <c r="F31" s="45"/>
      <c r="G31" s="10">
        <f>IF(G30&lt;54,1,IF(G30&lt;108,2,IF(G30&lt;162,3,IF(G30&lt;216,4,5))))</f>
        <v>3</v>
      </c>
    </row>
    <row r="32" spans="1:7" ht="15.75" customHeight="1" x14ac:dyDescent="0.25">
      <c r="A32" s="34" t="s">
        <v>72</v>
      </c>
      <c r="B32" s="34"/>
      <c r="C32" s="34"/>
      <c r="D32" s="42" t="s">
        <v>251</v>
      </c>
      <c r="E32" s="42"/>
      <c r="F32" s="42"/>
      <c r="G32" s="42"/>
    </row>
    <row r="33" spans="1:7" ht="15.75" customHeight="1" x14ac:dyDescent="0.25">
      <c r="A33" s="34" t="s">
        <v>73</v>
      </c>
      <c r="B33" s="34"/>
      <c r="C33" s="34"/>
      <c r="D33" s="42" t="s">
        <v>253</v>
      </c>
      <c r="E33" s="42"/>
      <c r="F33" s="42"/>
      <c r="G33" s="42"/>
    </row>
    <row r="34" spans="1:7" ht="15.75" customHeight="1" x14ac:dyDescent="0.25">
      <c r="A34" s="34" t="s">
        <v>91</v>
      </c>
      <c r="B34" s="34"/>
      <c r="C34" s="34"/>
      <c r="D34" s="42" t="s">
        <v>252</v>
      </c>
      <c r="E34" s="42"/>
      <c r="F34" s="42"/>
      <c r="G34" s="42"/>
    </row>
  </sheetData>
  <mergeCells count="8">
    <mergeCell ref="D32:G32"/>
    <mergeCell ref="D33:G33"/>
    <mergeCell ref="D34:G34"/>
    <mergeCell ref="A30:F30"/>
    <mergeCell ref="A31:F31"/>
    <mergeCell ref="A32:C32"/>
    <mergeCell ref="A33:C33"/>
    <mergeCell ref="A34:C34"/>
  </mergeCells>
  <hyperlinks>
    <hyperlink ref="D32" r:id="rId1" xr:uid="{F7F873EC-555E-430A-BC2D-8CC9A39FE320}"/>
    <hyperlink ref="D34" r:id="rId2" xr:uid="{0FBE1501-E61C-4DFF-874B-47555165F460}"/>
    <hyperlink ref="D33" r:id="rId3" xr:uid="{EB6B3718-BF2E-4C8C-952A-42C0CC5ACEA7}"/>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4"/>
  <sheetViews>
    <sheetView topLeftCell="A11" zoomScale="130" zoomScaleNormal="130" workbookViewId="0">
      <selection activeCell="F23" sqref="F23"/>
    </sheetView>
  </sheetViews>
  <sheetFormatPr defaultRowHeight="15" x14ac:dyDescent="0.25"/>
  <cols>
    <col min="1" max="1" width="12.7109375" style="2" bestFit="1" customWidth="1"/>
    <col min="2" max="2" width="5.140625" style="2" customWidth="1"/>
    <col min="3" max="3" width="24.85546875" style="2" bestFit="1" customWidth="1"/>
    <col min="4" max="4" width="4.7109375" style="2" bestFit="1" customWidth="1"/>
    <col min="5" max="5" width="5.85546875" style="2" customWidth="1"/>
    <col min="6" max="6" width="114.28515625" style="2" customWidth="1"/>
    <col min="7" max="7" width="5" style="2" bestFit="1" customWidth="1"/>
    <col min="8" max="16384" width="9.140625" style="2"/>
  </cols>
  <sheetData>
    <row r="1" spans="1:7" ht="25.5" x14ac:dyDescent="0.25">
      <c r="A1" s="8" t="s">
        <v>0</v>
      </c>
      <c r="B1" s="8" t="s">
        <v>1</v>
      </c>
      <c r="C1" s="8" t="s">
        <v>2</v>
      </c>
      <c r="D1" s="8" t="s">
        <v>3</v>
      </c>
      <c r="E1" s="8" t="s">
        <v>4</v>
      </c>
      <c r="F1" s="8" t="s">
        <v>5</v>
      </c>
      <c r="G1" s="8" t="s">
        <v>6</v>
      </c>
    </row>
    <row r="2" spans="1:7" ht="102" x14ac:dyDescent="0.25">
      <c r="A2" s="10" t="s">
        <v>7</v>
      </c>
      <c r="B2" s="10" t="s">
        <v>8</v>
      </c>
      <c r="C2" s="10" t="s">
        <v>9</v>
      </c>
      <c r="D2" s="10">
        <v>1</v>
      </c>
      <c r="E2" s="10">
        <v>0</v>
      </c>
      <c r="F2" s="10" t="s">
        <v>267</v>
      </c>
      <c r="G2" s="10">
        <f>E2*D2</f>
        <v>0</v>
      </c>
    </row>
    <row r="3" spans="1:7" ht="89.25" x14ac:dyDescent="0.25">
      <c r="A3" s="10" t="s">
        <v>7</v>
      </c>
      <c r="B3" s="10" t="s">
        <v>10</v>
      </c>
      <c r="C3" s="10" t="s">
        <v>11</v>
      </c>
      <c r="D3" s="10">
        <v>1</v>
      </c>
      <c r="E3" s="10">
        <v>0</v>
      </c>
      <c r="F3" s="10" t="s">
        <v>268</v>
      </c>
      <c r="G3" s="10">
        <f t="shared" ref="G3:G29" si="0">E3*D3</f>
        <v>0</v>
      </c>
    </row>
    <row r="4" spans="1:7" ht="38.25" x14ac:dyDescent="0.25">
      <c r="A4" s="10" t="s">
        <v>7</v>
      </c>
      <c r="B4" s="10" t="s">
        <v>12</v>
      </c>
      <c r="C4" s="10" t="s">
        <v>13</v>
      </c>
      <c r="D4" s="10">
        <v>1</v>
      </c>
      <c r="E4" s="10">
        <v>5</v>
      </c>
      <c r="F4" s="10" t="s">
        <v>269</v>
      </c>
      <c r="G4" s="10">
        <f t="shared" si="0"/>
        <v>5</v>
      </c>
    </row>
    <row r="5" spans="1:7" ht="89.25" x14ac:dyDescent="0.25">
      <c r="A5" s="10" t="s">
        <v>7</v>
      </c>
      <c r="B5" s="10" t="s">
        <v>14</v>
      </c>
      <c r="C5" s="10" t="s">
        <v>15</v>
      </c>
      <c r="D5" s="10">
        <v>1</v>
      </c>
      <c r="E5" s="10">
        <v>5</v>
      </c>
      <c r="F5" s="10" t="s">
        <v>270</v>
      </c>
      <c r="G5" s="10">
        <f t="shared" si="0"/>
        <v>5</v>
      </c>
    </row>
    <row r="6" spans="1:7" ht="102" x14ac:dyDescent="0.25">
      <c r="A6" s="10" t="s">
        <v>7</v>
      </c>
      <c r="B6" s="10" t="s">
        <v>16</v>
      </c>
      <c r="C6" s="10" t="s">
        <v>17</v>
      </c>
      <c r="D6" s="10">
        <v>1</v>
      </c>
      <c r="E6" s="10">
        <v>4</v>
      </c>
      <c r="F6" s="10" t="s">
        <v>558</v>
      </c>
      <c r="G6" s="10">
        <f t="shared" si="0"/>
        <v>4</v>
      </c>
    </row>
    <row r="7" spans="1:7" ht="63.75" x14ac:dyDescent="0.25">
      <c r="A7" s="10" t="s">
        <v>7</v>
      </c>
      <c r="B7" s="10" t="s">
        <v>18</v>
      </c>
      <c r="C7" s="10" t="s">
        <v>19</v>
      </c>
      <c r="D7" s="10">
        <v>1</v>
      </c>
      <c r="E7" s="10">
        <v>5</v>
      </c>
      <c r="F7" s="10" t="s">
        <v>271</v>
      </c>
      <c r="G7" s="10">
        <f t="shared" si="0"/>
        <v>5</v>
      </c>
    </row>
    <row r="8" spans="1:7" ht="114.75" x14ac:dyDescent="0.25">
      <c r="A8" s="10" t="s">
        <v>7</v>
      </c>
      <c r="B8" s="10" t="s">
        <v>20</v>
      </c>
      <c r="C8" s="10" t="s">
        <v>21</v>
      </c>
      <c r="D8" s="10">
        <v>1</v>
      </c>
      <c r="E8" s="10">
        <v>4</v>
      </c>
      <c r="F8" s="10" t="s">
        <v>272</v>
      </c>
      <c r="G8" s="10">
        <f t="shared" si="0"/>
        <v>4</v>
      </c>
    </row>
    <row r="9" spans="1:7" ht="114.75" x14ac:dyDescent="0.25">
      <c r="A9" s="10" t="s">
        <v>7</v>
      </c>
      <c r="B9" s="10" t="s">
        <v>22</v>
      </c>
      <c r="C9" s="10" t="s">
        <v>23</v>
      </c>
      <c r="D9" s="10">
        <v>1</v>
      </c>
      <c r="E9" s="12">
        <v>2</v>
      </c>
      <c r="F9" s="10" t="s">
        <v>483</v>
      </c>
      <c r="G9" s="10">
        <f t="shared" si="0"/>
        <v>2</v>
      </c>
    </row>
    <row r="10" spans="1:7" ht="140.25" x14ac:dyDescent="0.25">
      <c r="A10" s="10" t="s">
        <v>7</v>
      </c>
      <c r="B10" s="10" t="s">
        <v>24</v>
      </c>
      <c r="C10" s="10" t="s">
        <v>25</v>
      </c>
      <c r="D10" s="10">
        <v>1</v>
      </c>
      <c r="E10" s="12">
        <v>2</v>
      </c>
      <c r="F10" s="10" t="s">
        <v>273</v>
      </c>
      <c r="G10" s="10">
        <f t="shared" si="0"/>
        <v>2</v>
      </c>
    </row>
    <row r="11" spans="1:7" ht="51" x14ac:dyDescent="0.25">
      <c r="A11" s="10" t="s">
        <v>7</v>
      </c>
      <c r="B11" s="10" t="s">
        <v>26</v>
      </c>
      <c r="C11" s="10" t="s">
        <v>27</v>
      </c>
      <c r="D11" s="10">
        <v>1</v>
      </c>
      <c r="E11" s="12">
        <v>0</v>
      </c>
      <c r="F11" s="10" t="s">
        <v>473</v>
      </c>
      <c r="G11" s="10">
        <f t="shared" si="0"/>
        <v>0</v>
      </c>
    </row>
    <row r="12" spans="1:7" ht="63.75" x14ac:dyDescent="0.25">
      <c r="A12" s="10" t="s">
        <v>28</v>
      </c>
      <c r="B12" s="10" t="s">
        <v>29</v>
      </c>
      <c r="C12" s="10" t="s">
        <v>30</v>
      </c>
      <c r="D12" s="10">
        <v>3</v>
      </c>
      <c r="E12" s="12">
        <v>5</v>
      </c>
      <c r="F12" s="10" t="s">
        <v>171</v>
      </c>
      <c r="G12" s="10">
        <f t="shared" si="0"/>
        <v>15</v>
      </c>
    </row>
    <row r="13" spans="1:7" ht="76.5" x14ac:dyDescent="0.25">
      <c r="A13" s="10" t="s">
        <v>28</v>
      </c>
      <c r="B13" s="10" t="s">
        <v>31</v>
      </c>
      <c r="C13" s="10" t="s">
        <v>32</v>
      </c>
      <c r="D13" s="10">
        <v>3</v>
      </c>
      <c r="E13" s="10">
        <v>4</v>
      </c>
      <c r="F13" s="10" t="s">
        <v>127</v>
      </c>
      <c r="G13" s="10">
        <f t="shared" si="0"/>
        <v>12</v>
      </c>
    </row>
    <row r="14" spans="1:7" ht="51"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3</v>
      </c>
      <c r="F15" s="10" t="s">
        <v>549</v>
      </c>
      <c r="G15" s="10">
        <f t="shared" si="0"/>
        <v>6</v>
      </c>
    </row>
    <row r="16" spans="1:7" ht="63.75" x14ac:dyDescent="0.25">
      <c r="A16" s="10" t="s">
        <v>35</v>
      </c>
      <c r="B16" s="10" t="s">
        <v>38</v>
      </c>
      <c r="C16" s="10" t="s">
        <v>39</v>
      </c>
      <c r="D16" s="10">
        <v>2</v>
      </c>
      <c r="E16" s="10">
        <v>5</v>
      </c>
      <c r="F16" s="10" t="s">
        <v>274</v>
      </c>
      <c r="G16" s="10">
        <f t="shared" si="0"/>
        <v>10</v>
      </c>
    </row>
    <row r="17" spans="1:7" ht="63.75" x14ac:dyDescent="0.25">
      <c r="A17" s="10" t="s">
        <v>35</v>
      </c>
      <c r="B17" s="10" t="s">
        <v>40</v>
      </c>
      <c r="C17" s="10" t="s">
        <v>41</v>
      </c>
      <c r="D17" s="10">
        <v>2</v>
      </c>
      <c r="E17" s="10">
        <v>3</v>
      </c>
      <c r="F17" s="10" t="s">
        <v>275</v>
      </c>
      <c r="G17" s="10">
        <f t="shared" si="0"/>
        <v>6</v>
      </c>
    </row>
    <row r="18" spans="1:7" ht="102" x14ac:dyDescent="0.25">
      <c r="A18" s="10" t="s">
        <v>35</v>
      </c>
      <c r="B18" s="10" t="s">
        <v>42</v>
      </c>
      <c r="C18" s="10" t="s">
        <v>43</v>
      </c>
      <c r="D18" s="10">
        <v>2</v>
      </c>
      <c r="E18" s="10">
        <v>4</v>
      </c>
      <c r="F18" s="10" t="s">
        <v>130</v>
      </c>
      <c r="G18" s="10">
        <f t="shared" si="0"/>
        <v>8</v>
      </c>
    </row>
    <row r="19" spans="1:7" ht="89.25" x14ac:dyDescent="0.25">
      <c r="A19" s="10" t="s">
        <v>35</v>
      </c>
      <c r="B19" s="10" t="s">
        <v>44</v>
      </c>
      <c r="C19" s="10" t="s">
        <v>45</v>
      </c>
      <c r="D19" s="10">
        <v>2</v>
      </c>
      <c r="E19" s="10">
        <v>4</v>
      </c>
      <c r="F19" s="10" t="s">
        <v>276</v>
      </c>
      <c r="G19" s="10">
        <f t="shared" si="0"/>
        <v>8</v>
      </c>
    </row>
    <row r="20" spans="1:7" ht="89.25" x14ac:dyDescent="0.25">
      <c r="A20" s="10" t="s">
        <v>35</v>
      </c>
      <c r="B20" s="10" t="s">
        <v>46</v>
      </c>
      <c r="C20" s="10" t="s">
        <v>47</v>
      </c>
      <c r="D20" s="10">
        <v>2</v>
      </c>
      <c r="E20" s="10">
        <v>5</v>
      </c>
      <c r="F20" s="10" t="s">
        <v>277</v>
      </c>
      <c r="G20" s="10">
        <f t="shared" si="0"/>
        <v>10</v>
      </c>
    </row>
    <row r="21" spans="1:7" ht="63.75" x14ac:dyDescent="0.25">
      <c r="A21" s="10" t="s">
        <v>35</v>
      </c>
      <c r="B21" s="10" t="s">
        <v>48</v>
      </c>
      <c r="C21" s="10" t="s">
        <v>49</v>
      </c>
      <c r="D21" s="10">
        <v>2</v>
      </c>
      <c r="E21" s="10">
        <v>5</v>
      </c>
      <c r="F21" s="10" t="s">
        <v>278</v>
      </c>
      <c r="G21" s="10">
        <f t="shared" si="0"/>
        <v>10</v>
      </c>
    </row>
    <row r="22" spans="1:7" ht="114.75" x14ac:dyDescent="0.25">
      <c r="A22" s="10" t="s">
        <v>50</v>
      </c>
      <c r="B22" s="10" t="s">
        <v>51</v>
      </c>
      <c r="C22" s="10" t="s">
        <v>52</v>
      </c>
      <c r="D22" s="10">
        <v>2</v>
      </c>
      <c r="E22" s="10">
        <v>1</v>
      </c>
      <c r="F22" s="10" t="s">
        <v>372</v>
      </c>
      <c r="G22" s="10">
        <f t="shared" si="0"/>
        <v>2</v>
      </c>
    </row>
    <row r="23" spans="1:7" ht="89.25" x14ac:dyDescent="0.25">
      <c r="A23" s="10" t="s">
        <v>50</v>
      </c>
      <c r="B23" s="10" t="s">
        <v>53</v>
      </c>
      <c r="C23" s="10" t="s">
        <v>54</v>
      </c>
      <c r="D23" s="10">
        <v>2</v>
      </c>
      <c r="E23" s="10">
        <v>2</v>
      </c>
      <c r="F23" s="10" t="s">
        <v>279</v>
      </c>
      <c r="G23" s="10">
        <f t="shared" si="0"/>
        <v>4</v>
      </c>
    </row>
    <row r="24" spans="1:7" ht="127.5"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51" x14ac:dyDescent="0.25">
      <c r="A26" s="10" t="s">
        <v>57</v>
      </c>
      <c r="B26" s="10" t="s">
        <v>60</v>
      </c>
      <c r="C26" s="10" t="s">
        <v>61</v>
      </c>
      <c r="D26" s="10">
        <v>3</v>
      </c>
      <c r="E26" s="10">
        <v>0</v>
      </c>
      <c r="F26" s="10" t="s">
        <v>504</v>
      </c>
      <c r="G26" s="10">
        <f t="shared" si="0"/>
        <v>0</v>
      </c>
    </row>
    <row r="27" spans="1:7" ht="89.25" x14ac:dyDescent="0.25">
      <c r="A27" s="10" t="s">
        <v>57</v>
      </c>
      <c r="B27" s="10" t="s">
        <v>62</v>
      </c>
      <c r="C27" s="10" t="s">
        <v>63</v>
      </c>
      <c r="D27" s="10">
        <v>3</v>
      </c>
      <c r="E27" s="10">
        <v>0</v>
      </c>
      <c r="F27" s="10" t="s">
        <v>280</v>
      </c>
      <c r="G27" s="10">
        <f t="shared" si="0"/>
        <v>0</v>
      </c>
    </row>
    <row r="28" spans="1:7" ht="102" x14ac:dyDescent="0.25">
      <c r="A28" s="10" t="s">
        <v>57</v>
      </c>
      <c r="B28" s="10" t="s">
        <v>64</v>
      </c>
      <c r="C28" s="10" t="s">
        <v>65</v>
      </c>
      <c r="D28" s="10">
        <v>3</v>
      </c>
      <c r="E28" s="10">
        <v>0</v>
      </c>
      <c r="F28" s="10" t="s">
        <v>281</v>
      </c>
      <c r="G28" s="10">
        <f t="shared" si="0"/>
        <v>0</v>
      </c>
    </row>
    <row r="29" spans="1:7" ht="63.75" x14ac:dyDescent="0.25">
      <c r="A29" s="10" t="s">
        <v>57</v>
      </c>
      <c r="B29" s="10" t="s">
        <v>66</v>
      </c>
      <c r="C29" s="10" t="s">
        <v>68</v>
      </c>
      <c r="D29" s="10">
        <v>3</v>
      </c>
      <c r="E29" s="10">
        <v>0</v>
      </c>
      <c r="F29" s="10" t="s">
        <v>282</v>
      </c>
      <c r="G29" s="10">
        <f t="shared" si="0"/>
        <v>0</v>
      </c>
    </row>
    <row r="30" spans="1:7" x14ac:dyDescent="0.25">
      <c r="A30" s="35" t="s">
        <v>67</v>
      </c>
      <c r="B30" s="35"/>
      <c r="C30" s="35"/>
      <c r="D30" s="35"/>
      <c r="E30" s="35"/>
      <c r="F30" s="35"/>
      <c r="G30" s="10">
        <f>SUM(G2:G29)</f>
        <v>133</v>
      </c>
    </row>
    <row r="31" spans="1:7" x14ac:dyDescent="0.25">
      <c r="A31" s="35" t="s">
        <v>69</v>
      </c>
      <c r="B31" s="35"/>
      <c r="C31" s="35"/>
      <c r="D31" s="35"/>
      <c r="E31" s="35"/>
      <c r="F31" s="35"/>
      <c r="G31" s="10">
        <f>IF(G30&lt;54,1,IF(G30&lt;108,2,IF(G30&lt;162,3,IF(G30&lt;216,4,5))))</f>
        <v>3</v>
      </c>
    </row>
    <row r="32" spans="1:7" x14ac:dyDescent="0.25">
      <c r="A32" s="34" t="s">
        <v>72</v>
      </c>
      <c r="B32" s="34"/>
      <c r="C32" s="34"/>
      <c r="D32" s="42" t="s">
        <v>284</v>
      </c>
      <c r="E32" s="35"/>
      <c r="F32" s="35"/>
      <c r="G32" s="35"/>
    </row>
    <row r="33" spans="1:7" x14ac:dyDescent="0.25">
      <c r="A33" s="34" t="s">
        <v>73</v>
      </c>
      <c r="B33" s="34"/>
      <c r="C33" s="34"/>
      <c r="D33" s="42" t="s">
        <v>283</v>
      </c>
      <c r="E33" s="42"/>
      <c r="F33" s="42"/>
      <c r="G33" s="42"/>
    </row>
    <row r="34" spans="1:7" x14ac:dyDescent="0.25">
      <c r="A34" s="34" t="s">
        <v>91</v>
      </c>
      <c r="B34" s="34"/>
      <c r="C34" s="34"/>
      <c r="D34" s="42" t="s">
        <v>285</v>
      </c>
      <c r="E34" s="42"/>
      <c r="F34" s="42"/>
      <c r="G34" s="42"/>
    </row>
  </sheetData>
  <mergeCells count="8">
    <mergeCell ref="A30:F30"/>
    <mergeCell ref="A31:F31"/>
    <mergeCell ref="A32:C32"/>
    <mergeCell ref="A33:C33"/>
    <mergeCell ref="A34:C34"/>
    <mergeCell ref="D32:G32"/>
    <mergeCell ref="D33:G33"/>
    <mergeCell ref="D34:G34"/>
  </mergeCells>
  <hyperlinks>
    <hyperlink ref="D33" r:id="rId1" xr:uid="{3903C72C-3779-4F06-9B09-2262A1E39776}"/>
    <hyperlink ref="D32" r:id="rId2" xr:uid="{8BD9276B-C6A1-4000-81F3-5A8ED144422B}"/>
    <hyperlink ref="D34" r:id="rId3" xr:uid="{AFB38AB9-7E21-4B95-A226-C224FD5A26AB}"/>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34"/>
  <sheetViews>
    <sheetView topLeftCell="A16" workbookViewId="0">
      <selection activeCell="E2" sqref="E2:E11"/>
    </sheetView>
  </sheetViews>
  <sheetFormatPr defaultRowHeight="15" x14ac:dyDescent="0.25"/>
  <cols>
    <col min="1" max="1" width="14" style="2" bestFit="1" customWidth="1"/>
    <col min="2" max="2" width="4.28515625" style="2" bestFit="1" customWidth="1"/>
    <col min="3" max="3" width="22.5703125" style="2" customWidth="1"/>
    <col min="4" max="4" width="5.28515625" style="2" bestFit="1" customWidth="1"/>
    <col min="5" max="5" width="6.28515625" style="2" customWidth="1"/>
    <col min="6" max="6" width="95.5703125" style="2" customWidth="1"/>
    <col min="7" max="16384" width="9.140625" style="2"/>
  </cols>
  <sheetData>
    <row r="1" spans="1:7" ht="25.5" x14ac:dyDescent="0.25">
      <c r="A1" s="8" t="s">
        <v>0</v>
      </c>
      <c r="B1" s="8" t="s">
        <v>1</v>
      </c>
      <c r="C1" s="8" t="s">
        <v>2</v>
      </c>
      <c r="D1" s="8" t="s">
        <v>3</v>
      </c>
      <c r="E1" s="8" t="s">
        <v>4</v>
      </c>
      <c r="F1" s="8" t="s">
        <v>5</v>
      </c>
      <c r="G1" s="8" t="s">
        <v>6</v>
      </c>
    </row>
    <row r="2" spans="1:7" ht="114.75" x14ac:dyDescent="0.25">
      <c r="A2" s="10" t="s">
        <v>7</v>
      </c>
      <c r="B2" s="10" t="s">
        <v>8</v>
      </c>
      <c r="C2" s="10" t="s">
        <v>9</v>
      </c>
      <c r="D2" s="10">
        <v>1</v>
      </c>
      <c r="E2" s="10">
        <v>0</v>
      </c>
      <c r="F2" s="10" t="s">
        <v>460</v>
      </c>
      <c r="G2" s="10">
        <f>E2*D2</f>
        <v>0</v>
      </c>
    </row>
    <row r="3" spans="1:7" ht="63.75" x14ac:dyDescent="0.25">
      <c r="A3" s="10" t="s">
        <v>7</v>
      </c>
      <c r="B3" s="10" t="s">
        <v>10</v>
      </c>
      <c r="C3" s="10" t="s">
        <v>11</v>
      </c>
      <c r="D3" s="10">
        <v>1</v>
      </c>
      <c r="E3" s="10">
        <v>5</v>
      </c>
      <c r="F3" s="10" t="s">
        <v>286</v>
      </c>
      <c r="G3" s="10">
        <f t="shared" ref="G3:G29" si="0">E3*D3</f>
        <v>5</v>
      </c>
    </row>
    <row r="4" spans="1:7" ht="114.75" x14ac:dyDescent="0.25">
      <c r="A4" s="10" t="s">
        <v>7</v>
      </c>
      <c r="B4" s="10" t="s">
        <v>12</v>
      </c>
      <c r="C4" s="10" t="s">
        <v>13</v>
      </c>
      <c r="D4" s="10">
        <v>1</v>
      </c>
      <c r="E4" s="10">
        <v>0</v>
      </c>
      <c r="F4" s="10" t="s">
        <v>287</v>
      </c>
      <c r="G4" s="10">
        <f t="shared" si="0"/>
        <v>0</v>
      </c>
    </row>
    <row r="5" spans="1:7" ht="89.25" x14ac:dyDescent="0.25">
      <c r="A5" s="10" t="s">
        <v>7</v>
      </c>
      <c r="B5" s="10" t="s">
        <v>14</v>
      </c>
      <c r="C5" s="10" t="s">
        <v>15</v>
      </c>
      <c r="D5" s="10">
        <v>1</v>
      </c>
      <c r="E5" s="10">
        <v>5</v>
      </c>
      <c r="F5" s="10" t="s">
        <v>288</v>
      </c>
      <c r="G5" s="10">
        <f t="shared" si="0"/>
        <v>5</v>
      </c>
    </row>
    <row r="6" spans="1:7" ht="76.5" x14ac:dyDescent="0.25">
      <c r="A6" s="10" t="s">
        <v>7</v>
      </c>
      <c r="B6" s="10" t="s">
        <v>16</v>
      </c>
      <c r="C6" s="10" t="s">
        <v>17</v>
      </c>
      <c r="D6" s="10">
        <v>1</v>
      </c>
      <c r="E6" s="18">
        <v>5</v>
      </c>
      <c r="F6" s="18" t="s">
        <v>223</v>
      </c>
      <c r="G6" s="10">
        <f t="shared" si="0"/>
        <v>5</v>
      </c>
    </row>
    <row r="7" spans="1:7" ht="76.5" x14ac:dyDescent="0.25">
      <c r="A7" s="10" t="s">
        <v>7</v>
      </c>
      <c r="B7" s="10" t="s">
        <v>18</v>
      </c>
      <c r="C7" s="10" t="s">
        <v>19</v>
      </c>
      <c r="D7" s="10">
        <v>1</v>
      </c>
      <c r="E7" s="10">
        <v>5</v>
      </c>
      <c r="F7" s="10" t="s">
        <v>289</v>
      </c>
      <c r="G7" s="10">
        <f t="shared" si="0"/>
        <v>5</v>
      </c>
    </row>
    <row r="8" spans="1:7" ht="63.75" x14ac:dyDescent="0.25">
      <c r="A8" s="10" t="s">
        <v>7</v>
      </c>
      <c r="B8" s="10" t="s">
        <v>20</v>
      </c>
      <c r="C8" s="10" t="s">
        <v>21</v>
      </c>
      <c r="D8" s="10">
        <v>1</v>
      </c>
      <c r="E8" s="10">
        <v>5</v>
      </c>
      <c r="F8" s="10" t="s">
        <v>290</v>
      </c>
      <c r="G8" s="10">
        <f t="shared" si="0"/>
        <v>5</v>
      </c>
    </row>
    <row r="9" spans="1:7" ht="140.25" x14ac:dyDescent="0.25">
      <c r="A9" s="10" t="s">
        <v>7</v>
      </c>
      <c r="B9" s="10" t="s">
        <v>22</v>
      </c>
      <c r="C9" s="10" t="s">
        <v>23</v>
      </c>
      <c r="D9" s="10">
        <v>1</v>
      </c>
      <c r="E9" s="12">
        <v>2</v>
      </c>
      <c r="F9" s="10" t="s">
        <v>483</v>
      </c>
      <c r="G9" s="10">
        <f t="shared" si="0"/>
        <v>2</v>
      </c>
    </row>
    <row r="10" spans="1:7" ht="165.75" x14ac:dyDescent="0.25">
      <c r="A10" s="10" t="s">
        <v>7</v>
      </c>
      <c r="B10" s="10" t="s">
        <v>24</v>
      </c>
      <c r="C10" s="10" t="s">
        <v>25</v>
      </c>
      <c r="D10" s="10">
        <v>1</v>
      </c>
      <c r="E10" s="12">
        <v>2</v>
      </c>
      <c r="F10" s="10" t="s">
        <v>291</v>
      </c>
      <c r="G10" s="10">
        <f t="shared" si="0"/>
        <v>2</v>
      </c>
    </row>
    <row r="11" spans="1:7" ht="63.75"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172</v>
      </c>
      <c r="G12" s="10">
        <f t="shared" si="0"/>
        <v>15</v>
      </c>
    </row>
    <row r="13" spans="1:7" ht="89.2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3</v>
      </c>
      <c r="F15" s="10" t="s">
        <v>550</v>
      </c>
      <c r="G15" s="10">
        <f t="shared" si="0"/>
        <v>6</v>
      </c>
    </row>
    <row r="16" spans="1:7" ht="76.5" x14ac:dyDescent="0.25">
      <c r="A16" s="10" t="s">
        <v>35</v>
      </c>
      <c r="B16" s="10" t="s">
        <v>38</v>
      </c>
      <c r="C16" s="10" t="s">
        <v>39</v>
      </c>
      <c r="D16" s="10">
        <v>2</v>
      </c>
      <c r="E16" s="10">
        <v>5</v>
      </c>
      <c r="F16" s="10" t="s">
        <v>292</v>
      </c>
      <c r="G16" s="10">
        <f t="shared" si="0"/>
        <v>10</v>
      </c>
    </row>
    <row r="17" spans="1:7" ht="76.5" x14ac:dyDescent="0.25">
      <c r="A17" s="10" t="s">
        <v>35</v>
      </c>
      <c r="B17" s="10" t="s">
        <v>40</v>
      </c>
      <c r="C17" s="10" t="s">
        <v>41</v>
      </c>
      <c r="D17" s="10">
        <v>2</v>
      </c>
      <c r="E17" s="10">
        <v>3</v>
      </c>
      <c r="F17" s="10" t="s">
        <v>293</v>
      </c>
      <c r="G17" s="10">
        <f t="shared" si="0"/>
        <v>6</v>
      </c>
    </row>
    <row r="18" spans="1:7" ht="114.75" x14ac:dyDescent="0.25">
      <c r="A18" s="10" t="s">
        <v>35</v>
      </c>
      <c r="B18" s="10" t="s">
        <v>42</v>
      </c>
      <c r="C18" s="10" t="s">
        <v>43</v>
      </c>
      <c r="D18" s="10">
        <v>2</v>
      </c>
      <c r="E18" s="10">
        <v>4</v>
      </c>
      <c r="F18" s="10" t="s">
        <v>130</v>
      </c>
      <c r="G18" s="10">
        <f t="shared" si="0"/>
        <v>8</v>
      </c>
    </row>
    <row r="19" spans="1:7" ht="102" x14ac:dyDescent="0.25">
      <c r="A19" s="10" t="s">
        <v>35</v>
      </c>
      <c r="B19" s="10" t="s">
        <v>44</v>
      </c>
      <c r="C19" s="10" t="s">
        <v>45</v>
      </c>
      <c r="D19" s="10">
        <v>2</v>
      </c>
      <c r="E19" s="10">
        <v>4</v>
      </c>
      <c r="F19" s="10" t="s">
        <v>294</v>
      </c>
      <c r="G19" s="10">
        <f t="shared" si="0"/>
        <v>8</v>
      </c>
    </row>
    <row r="20" spans="1:7" ht="89.25" x14ac:dyDescent="0.25">
      <c r="A20" s="10" t="s">
        <v>35</v>
      </c>
      <c r="B20" s="10" t="s">
        <v>46</v>
      </c>
      <c r="C20" s="10" t="s">
        <v>47</v>
      </c>
      <c r="D20" s="10">
        <v>2</v>
      </c>
      <c r="E20" s="10">
        <v>5</v>
      </c>
      <c r="F20" s="10" t="s">
        <v>295</v>
      </c>
      <c r="G20" s="10">
        <f t="shared" si="0"/>
        <v>10</v>
      </c>
    </row>
    <row r="21" spans="1:7" ht="89.25" x14ac:dyDescent="0.25">
      <c r="A21" s="10" t="s">
        <v>35</v>
      </c>
      <c r="B21" s="10" t="s">
        <v>48</v>
      </c>
      <c r="C21" s="10" t="s">
        <v>49</v>
      </c>
      <c r="D21" s="10">
        <v>2</v>
      </c>
      <c r="E21" s="10">
        <v>5</v>
      </c>
      <c r="F21" s="10" t="s">
        <v>296</v>
      </c>
      <c r="G21" s="10">
        <f t="shared" si="0"/>
        <v>10</v>
      </c>
    </row>
    <row r="22" spans="1:7" ht="140.25" x14ac:dyDescent="0.25">
      <c r="A22" s="10" t="s">
        <v>50</v>
      </c>
      <c r="B22" s="10" t="s">
        <v>51</v>
      </c>
      <c r="C22" s="10" t="s">
        <v>52</v>
      </c>
      <c r="D22" s="10">
        <v>2</v>
      </c>
      <c r="E22" s="10">
        <v>1</v>
      </c>
      <c r="F22" s="10" t="s">
        <v>297</v>
      </c>
      <c r="G22" s="10">
        <f t="shared" si="0"/>
        <v>2</v>
      </c>
    </row>
    <row r="23" spans="1:7" ht="63.75" x14ac:dyDescent="0.25">
      <c r="A23" s="10" t="s">
        <v>50</v>
      </c>
      <c r="B23" s="10" t="s">
        <v>53</v>
      </c>
      <c r="C23" s="10" t="s">
        <v>54</v>
      </c>
      <c r="D23" s="10">
        <v>2</v>
      </c>
      <c r="E23" s="10">
        <v>2</v>
      </c>
      <c r="F23" s="10" t="s">
        <v>298</v>
      </c>
      <c r="G23" s="10">
        <f t="shared" si="0"/>
        <v>4</v>
      </c>
    </row>
    <row r="24" spans="1:7" ht="153"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63.75" x14ac:dyDescent="0.25">
      <c r="A26" s="10" t="s">
        <v>57</v>
      </c>
      <c r="B26" s="10" t="s">
        <v>60</v>
      </c>
      <c r="C26" s="10" t="s">
        <v>61</v>
      </c>
      <c r="D26" s="10">
        <v>3</v>
      </c>
      <c r="E26" s="10">
        <v>0</v>
      </c>
      <c r="F26" s="10" t="s">
        <v>299</v>
      </c>
      <c r="G26" s="10">
        <f t="shared" si="0"/>
        <v>0</v>
      </c>
    </row>
    <row r="27" spans="1:7" ht="114.75" x14ac:dyDescent="0.25">
      <c r="A27" s="10" t="s">
        <v>57</v>
      </c>
      <c r="B27" s="10" t="s">
        <v>62</v>
      </c>
      <c r="C27" s="10" t="s">
        <v>63</v>
      </c>
      <c r="D27" s="10">
        <v>3</v>
      </c>
      <c r="E27" s="10">
        <v>0</v>
      </c>
      <c r="F27" s="10" t="s">
        <v>300</v>
      </c>
      <c r="G27" s="10">
        <f t="shared" si="0"/>
        <v>0</v>
      </c>
    </row>
    <row r="28" spans="1:7" ht="114.75" x14ac:dyDescent="0.25">
      <c r="A28" s="10" t="s">
        <v>57</v>
      </c>
      <c r="B28" s="10" t="s">
        <v>64</v>
      </c>
      <c r="C28" s="10" t="s">
        <v>65</v>
      </c>
      <c r="D28" s="10">
        <v>3</v>
      </c>
      <c r="E28" s="10">
        <v>0</v>
      </c>
      <c r="F28" s="10" t="s">
        <v>301</v>
      </c>
      <c r="G28" s="10">
        <f t="shared" si="0"/>
        <v>0</v>
      </c>
    </row>
    <row r="29" spans="1:7" ht="89.25" x14ac:dyDescent="0.25">
      <c r="A29" s="10" t="s">
        <v>57</v>
      </c>
      <c r="B29" s="10" t="s">
        <v>66</v>
      </c>
      <c r="C29" s="10" t="s">
        <v>68</v>
      </c>
      <c r="D29" s="10">
        <v>3</v>
      </c>
      <c r="E29" s="10">
        <v>0</v>
      </c>
      <c r="F29" s="10" t="s">
        <v>505</v>
      </c>
      <c r="G29" s="10">
        <f t="shared" si="0"/>
        <v>0</v>
      </c>
    </row>
    <row r="30" spans="1:7" x14ac:dyDescent="0.25">
      <c r="A30" s="35" t="s">
        <v>67</v>
      </c>
      <c r="B30" s="35"/>
      <c r="C30" s="35"/>
      <c r="D30" s="35"/>
      <c r="E30" s="35"/>
      <c r="F30" s="35"/>
      <c r="G30" s="10">
        <f>SUM(G2:G29)</f>
        <v>135</v>
      </c>
    </row>
    <row r="31" spans="1:7" x14ac:dyDescent="0.25">
      <c r="A31" s="35" t="s">
        <v>69</v>
      </c>
      <c r="B31" s="35"/>
      <c r="C31" s="35"/>
      <c r="D31" s="35"/>
      <c r="E31" s="35"/>
      <c r="F31" s="35"/>
      <c r="G31" s="10">
        <f>IF(G30&lt;54,1,IF(G30&lt;108,2,IF(G30&lt;162,3,IF(G30&lt;216,4,5))))</f>
        <v>3</v>
      </c>
    </row>
    <row r="32" spans="1:7" x14ac:dyDescent="0.25">
      <c r="A32" s="34" t="s">
        <v>72</v>
      </c>
      <c r="B32" s="34"/>
      <c r="C32" s="34"/>
      <c r="D32" s="42" t="s">
        <v>303</v>
      </c>
      <c r="E32" s="35"/>
      <c r="F32" s="35"/>
      <c r="G32" s="35"/>
    </row>
    <row r="33" spans="1:7" x14ac:dyDescent="0.25">
      <c r="A33" s="34" t="s">
        <v>73</v>
      </c>
      <c r="B33" s="34"/>
      <c r="C33" s="34"/>
      <c r="D33" s="42" t="s">
        <v>302</v>
      </c>
      <c r="E33" s="35"/>
      <c r="F33" s="35"/>
      <c r="G33" s="35"/>
    </row>
    <row r="34" spans="1:7" x14ac:dyDescent="0.25">
      <c r="A34" s="34" t="s">
        <v>91</v>
      </c>
      <c r="B34" s="34"/>
      <c r="C34" s="34"/>
      <c r="D34" s="42" t="s">
        <v>304</v>
      </c>
      <c r="E34" s="35"/>
      <c r="F34" s="35"/>
      <c r="G34" s="35"/>
    </row>
  </sheetData>
  <mergeCells count="8">
    <mergeCell ref="A30:F30"/>
    <mergeCell ref="A31:F31"/>
    <mergeCell ref="A32:C32"/>
    <mergeCell ref="A34:C34"/>
    <mergeCell ref="A33:C33"/>
    <mergeCell ref="D32:G32"/>
    <mergeCell ref="D33:G33"/>
    <mergeCell ref="D34:G34"/>
  </mergeCells>
  <hyperlinks>
    <hyperlink ref="D33" r:id="rId1" xr:uid="{14557503-E36C-4B83-9C78-732C417B6C42}"/>
    <hyperlink ref="D32" r:id="rId2" xr:uid="{6543F927-7135-4730-937E-5AC4D2A94B2E}"/>
    <hyperlink ref="D34" r:id="rId3" xr:uid="{731E72D7-0057-4345-9DFC-F9E5C9687D8C}"/>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34"/>
  <sheetViews>
    <sheetView topLeftCell="A16" workbookViewId="0">
      <selection activeCell="F18" sqref="F18"/>
    </sheetView>
  </sheetViews>
  <sheetFormatPr defaultRowHeight="15" x14ac:dyDescent="0.25"/>
  <cols>
    <col min="1" max="1" width="12.7109375" style="2" bestFit="1" customWidth="1"/>
    <col min="2" max="2" width="4" style="2" bestFit="1" customWidth="1"/>
    <col min="3" max="3" width="16.7109375" style="2" bestFit="1" customWidth="1"/>
    <col min="4" max="4" width="4.7109375" style="2" bestFit="1" customWidth="1"/>
    <col min="5" max="5" width="5" style="2" bestFit="1" customWidth="1"/>
    <col min="6" max="6" width="100.140625" style="2" bestFit="1" customWidth="1"/>
    <col min="7" max="7" width="5" style="2" bestFit="1" customWidth="1"/>
    <col min="8" max="16384" width="9.140625" style="2"/>
  </cols>
  <sheetData>
    <row r="1" spans="1:7" ht="25.5" x14ac:dyDescent="0.25">
      <c r="A1" s="8" t="s">
        <v>0</v>
      </c>
      <c r="B1" s="8" t="s">
        <v>1</v>
      </c>
      <c r="C1" s="8" t="s">
        <v>2</v>
      </c>
      <c r="D1" s="8" t="s">
        <v>3</v>
      </c>
      <c r="E1" s="8" t="s">
        <v>4</v>
      </c>
      <c r="F1" s="8" t="s">
        <v>5</v>
      </c>
      <c r="G1" s="8" t="s">
        <v>6</v>
      </c>
    </row>
    <row r="2" spans="1:7" ht="127.5" x14ac:dyDescent="0.25">
      <c r="A2" s="10" t="s">
        <v>7</v>
      </c>
      <c r="B2" s="10" t="s">
        <v>8</v>
      </c>
      <c r="C2" s="10" t="s">
        <v>9</v>
      </c>
      <c r="D2" s="10">
        <v>1</v>
      </c>
      <c r="E2" s="10">
        <v>0</v>
      </c>
      <c r="F2" s="10" t="s">
        <v>305</v>
      </c>
      <c r="G2" s="10">
        <f>E2*D2</f>
        <v>0</v>
      </c>
    </row>
    <row r="3" spans="1:7" ht="63.75" x14ac:dyDescent="0.25">
      <c r="A3" s="10" t="s">
        <v>7</v>
      </c>
      <c r="B3" s="10" t="s">
        <v>10</v>
      </c>
      <c r="C3" s="10" t="s">
        <v>11</v>
      </c>
      <c r="D3" s="10">
        <v>1</v>
      </c>
      <c r="E3" s="10">
        <v>5</v>
      </c>
      <c r="F3" s="10" t="s">
        <v>309</v>
      </c>
      <c r="G3" s="10">
        <f t="shared" ref="G3:G29" si="0">E3*D3</f>
        <v>5</v>
      </c>
    </row>
    <row r="4" spans="1:7" ht="102" x14ac:dyDescent="0.25">
      <c r="A4" s="10" t="s">
        <v>7</v>
      </c>
      <c r="B4" s="10" t="s">
        <v>12</v>
      </c>
      <c r="C4" s="10" t="s">
        <v>13</v>
      </c>
      <c r="D4" s="10">
        <v>1</v>
      </c>
      <c r="E4" s="10">
        <v>0</v>
      </c>
      <c r="F4" s="10" t="s">
        <v>310</v>
      </c>
      <c r="G4" s="10">
        <f t="shared" si="0"/>
        <v>0</v>
      </c>
    </row>
    <row r="5" spans="1:7" ht="102" x14ac:dyDescent="0.25">
      <c r="A5" s="10" t="s">
        <v>7</v>
      </c>
      <c r="B5" s="10" t="s">
        <v>14</v>
      </c>
      <c r="C5" s="10" t="s">
        <v>15</v>
      </c>
      <c r="D5" s="10">
        <v>1</v>
      </c>
      <c r="E5" s="10">
        <v>5</v>
      </c>
      <c r="F5" s="10" t="s">
        <v>311</v>
      </c>
      <c r="G5" s="10">
        <f t="shared" si="0"/>
        <v>5</v>
      </c>
    </row>
    <row r="6" spans="1:7" ht="63.75" x14ac:dyDescent="0.25">
      <c r="A6" s="10" t="s">
        <v>7</v>
      </c>
      <c r="B6" s="10" t="s">
        <v>16</v>
      </c>
      <c r="C6" s="10" t="s">
        <v>17</v>
      </c>
      <c r="D6" s="10">
        <v>1</v>
      </c>
      <c r="E6" s="10">
        <v>5</v>
      </c>
      <c r="F6" s="10" t="s">
        <v>531</v>
      </c>
      <c r="G6" s="10">
        <f t="shared" si="0"/>
        <v>5</v>
      </c>
    </row>
    <row r="7" spans="1:7" ht="51" x14ac:dyDescent="0.25">
      <c r="A7" s="10" t="s">
        <v>7</v>
      </c>
      <c r="B7" s="10" t="s">
        <v>18</v>
      </c>
      <c r="C7" s="10" t="s">
        <v>19</v>
      </c>
      <c r="D7" s="10">
        <v>1</v>
      </c>
      <c r="E7" s="10">
        <v>5</v>
      </c>
      <c r="F7" s="10" t="s">
        <v>312</v>
      </c>
      <c r="G7" s="10">
        <f t="shared" si="0"/>
        <v>5</v>
      </c>
    </row>
    <row r="8" spans="1:7" ht="51" x14ac:dyDescent="0.25">
      <c r="A8" s="10" t="s">
        <v>7</v>
      </c>
      <c r="B8" s="10" t="s">
        <v>20</v>
      </c>
      <c r="C8" s="10" t="s">
        <v>21</v>
      </c>
      <c r="D8" s="10">
        <v>1</v>
      </c>
      <c r="E8" s="10">
        <v>5</v>
      </c>
      <c r="F8" s="10" t="s">
        <v>313</v>
      </c>
      <c r="G8" s="10">
        <f t="shared" si="0"/>
        <v>5</v>
      </c>
    </row>
    <row r="9" spans="1:7" ht="127.5" x14ac:dyDescent="0.25">
      <c r="A9" s="10" t="s">
        <v>7</v>
      </c>
      <c r="B9" s="10" t="s">
        <v>22</v>
      </c>
      <c r="C9" s="10" t="s">
        <v>23</v>
      </c>
      <c r="D9" s="10">
        <v>1</v>
      </c>
      <c r="E9" s="12">
        <v>2</v>
      </c>
      <c r="F9" s="10" t="s">
        <v>483</v>
      </c>
      <c r="G9" s="10">
        <f t="shared" si="0"/>
        <v>2</v>
      </c>
    </row>
    <row r="10" spans="1:7" ht="165.75" x14ac:dyDescent="0.25">
      <c r="A10" s="10" t="s">
        <v>7</v>
      </c>
      <c r="B10" s="10" t="s">
        <v>24</v>
      </c>
      <c r="C10" s="10" t="s">
        <v>25</v>
      </c>
      <c r="D10" s="10">
        <v>1</v>
      </c>
      <c r="E10" s="12">
        <v>2</v>
      </c>
      <c r="F10" s="10" t="s">
        <v>314</v>
      </c>
      <c r="G10" s="10">
        <f t="shared" si="0"/>
        <v>2</v>
      </c>
    </row>
    <row r="11" spans="1:7" ht="63.75"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173</v>
      </c>
      <c r="G12" s="10">
        <f t="shared" si="0"/>
        <v>15</v>
      </c>
    </row>
    <row r="13" spans="1:7" ht="89.2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102" x14ac:dyDescent="0.25">
      <c r="A15" s="10" t="s">
        <v>35</v>
      </c>
      <c r="B15" s="10" t="s">
        <v>36</v>
      </c>
      <c r="C15" s="10" t="s">
        <v>37</v>
      </c>
      <c r="D15" s="10">
        <v>2</v>
      </c>
      <c r="E15" s="10">
        <v>3</v>
      </c>
      <c r="F15" s="10" t="s">
        <v>551</v>
      </c>
      <c r="G15" s="10">
        <f t="shared" si="0"/>
        <v>6</v>
      </c>
    </row>
    <row r="16" spans="1:7" ht="63.75" x14ac:dyDescent="0.25">
      <c r="A16" s="10" t="s">
        <v>35</v>
      </c>
      <c r="B16" s="10" t="s">
        <v>38</v>
      </c>
      <c r="C16" s="10" t="s">
        <v>39</v>
      </c>
      <c r="D16" s="10">
        <v>2</v>
      </c>
      <c r="E16" s="10">
        <v>5</v>
      </c>
      <c r="F16" s="10" t="s">
        <v>315</v>
      </c>
      <c r="G16" s="10">
        <f t="shared" si="0"/>
        <v>10</v>
      </c>
    </row>
    <row r="17" spans="1:7" ht="51" x14ac:dyDescent="0.25">
      <c r="A17" s="10" t="s">
        <v>35</v>
      </c>
      <c r="B17" s="10" t="s">
        <v>40</v>
      </c>
      <c r="C17" s="10" t="s">
        <v>41</v>
      </c>
      <c r="D17" s="10">
        <v>2</v>
      </c>
      <c r="E17" s="10">
        <v>3</v>
      </c>
      <c r="F17" s="10" t="s">
        <v>568</v>
      </c>
      <c r="G17" s="10">
        <f t="shared" si="0"/>
        <v>6</v>
      </c>
    </row>
    <row r="18" spans="1:7" ht="114.75" x14ac:dyDescent="0.25">
      <c r="A18" s="10" t="s">
        <v>35</v>
      </c>
      <c r="B18" s="10" t="s">
        <v>42</v>
      </c>
      <c r="C18" s="10" t="s">
        <v>43</v>
      </c>
      <c r="D18" s="10">
        <v>2</v>
      </c>
      <c r="E18" s="10">
        <v>4</v>
      </c>
      <c r="F18" s="10" t="s">
        <v>130</v>
      </c>
      <c r="G18" s="10">
        <f t="shared" si="0"/>
        <v>8</v>
      </c>
    </row>
    <row r="19" spans="1:7" ht="102" x14ac:dyDescent="0.25">
      <c r="A19" s="10" t="s">
        <v>35</v>
      </c>
      <c r="B19" s="10" t="s">
        <v>44</v>
      </c>
      <c r="C19" s="10" t="s">
        <v>45</v>
      </c>
      <c r="D19" s="10">
        <v>2</v>
      </c>
      <c r="E19" s="10">
        <v>4</v>
      </c>
      <c r="F19" s="10" t="s">
        <v>506</v>
      </c>
      <c r="G19" s="10">
        <f t="shared" si="0"/>
        <v>8</v>
      </c>
    </row>
    <row r="20" spans="1:7" ht="102" x14ac:dyDescent="0.25">
      <c r="A20" s="10" t="s">
        <v>35</v>
      </c>
      <c r="B20" s="10" t="s">
        <v>46</v>
      </c>
      <c r="C20" s="10" t="s">
        <v>47</v>
      </c>
      <c r="D20" s="10">
        <v>2</v>
      </c>
      <c r="E20" s="10">
        <v>5</v>
      </c>
      <c r="F20" s="10" t="s">
        <v>316</v>
      </c>
      <c r="G20" s="10">
        <f t="shared" si="0"/>
        <v>10</v>
      </c>
    </row>
    <row r="21" spans="1:7" ht="63.75" x14ac:dyDescent="0.25">
      <c r="A21" s="10" t="s">
        <v>35</v>
      </c>
      <c r="B21" s="10" t="s">
        <v>48</v>
      </c>
      <c r="C21" s="10" t="s">
        <v>49</v>
      </c>
      <c r="D21" s="10">
        <v>2</v>
      </c>
      <c r="E21" s="10">
        <v>5</v>
      </c>
      <c r="F21" s="10" t="s">
        <v>317</v>
      </c>
      <c r="G21" s="10">
        <f t="shared" si="0"/>
        <v>10</v>
      </c>
    </row>
    <row r="22" spans="1:7" ht="114.75" x14ac:dyDescent="0.25">
      <c r="A22" s="10" t="s">
        <v>50</v>
      </c>
      <c r="B22" s="10" t="s">
        <v>51</v>
      </c>
      <c r="C22" s="10" t="s">
        <v>52</v>
      </c>
      <c r="D22" s="10">
        <v>2</v>
      </c>
      <c r="E22" s="10">
        <v>1</v>
      </c>
      <c r="F22" s="10" t="s">
        <v>507</v>
      </c>
      <c r="G22" s="10">
        <f t="shared" si="0"/>
        <v>2</v>
      </c>
    </row>
    <row r="23" spans="1:7" ht="76.5" x14ac:dyDescent="0.25">
      <c r="A23" s="10" t="s">
        <v>50</v>
      </c>
      <c r="B23" s="10" t="s">
        <v>53</v>
      </c>
      <c r="C23" s="10" t="s">
        <v>54</v>
      </c>
      <c r="D23" s="10">
        <v>2</v>
      </c>
      <c r="E23" s="10">
        <v>2</v>
      </c>
      <c r="F23" s="10" t="s">
        <v>318</v>
      </c>
      <c r="G23" s="10">
        <f t="shared" si="0"/>
        <v>4</v>
      </c>
    </row>
    <row r="24" spans="1:7" ht="153"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63.75" x14ac:dyDescent="0.25">
      <c r="A26" s="10" t="s">
        <v>57</v>
      </c>
      <c r="B26" s="10" t="s">
        <v>60</v>
      </c>
      <c r="C26" s="10" t="s">
        <v>61</v>
      </c>
      <c r="D26" s="10">
        <v>3</v>
      </c>
      <c r="E26" s="10">
        <v>0</v>
      </c>
      <c r="F26" s="10" t="s">
        <v>319</v>
      </c>
      <c r="G26" s="10">
        <f t="shared" si="0"/>
        <v>0</v>
      </c>
    </row>
    <row r="27" spans="1:7" ht="114.75" x14ac:dyDescent="0.25">
      <c r="A27" s="10" t="s">
        <v>57</v>
      </c>
      <c r="B27" s="10" t="s">
        <v>62</v>
      </c>
      <c r="C27" s="10" t="s">
        <v>63</v>
      </c>
      <c r="D27" s="10">
        <v>3</v>
      </c>
      <c r="E27" s="10">
        <v>0</v>
      </c>
      <c r="F27" s="10" t="s">
        <v>320</v>
      </c>
      <c r="G27" s="10">
        <f t="shared" si="0"/>
        <v>0</v>
      </c>
    </row>
    <row r="28" spans="1:7" ht="102" x14ac:dyDescent="0.25">
      <c r="A28" s="10" t="s">
        <v>57</v>
      </c>
      <c r="B28" s="10" t="s">
        <v>64</v>
      </c>
      <c r="C28" s="10" t="s">
        <v>65</v>
      </c>
      <c r="D28" s="10">
        <v>3</v>
      </c>
      <c r="E28" s="10">
        <v>0</v>
      </c>
      <c r="F28" s="10" t="s">
        <v>358</v>
      </c>
      <c r="G28" s="10">
        <f t="shared" si="0"/>
        <v>0</v>
      </c>
    </row>
    <row r="29" spans="1:7" ht="102" x14ac:dyDescent="0.25">
      <c r="A29" s="10" t="s">
        <v>57</v>
      </c>
      <c r="B29" s="10" t="s">
        <v>66</v>
      </c>
      <c r="C29" s="10" t="s">
        <v>68</v>
      </c>
      <c r="D29" s="10">
        <v>3</v>
      </c>
      <c r="E29" s="10">
        <v>0</v>
      </c>
      <c r="F29" s="10" t="s">
        <v>508</v>
      </c>
      <c r="G29" s="10">
        <f t="shared" si="0"/>
        <v>0</v>
      </c>
    </row>
    <row r="30" spans="1:7" x14ac:dyDescent="0.25">
      <c r="A30" s="35" t="s">
        <v>67</v>
      </c>
      <c r="B30" s="35"/>
      <c r="C30" s="35"/>
      <c r="D30" s="35"/>
      <c r="E30" s="35"/>
      <c r="F30" s="35"/>
      <c r="G30" s="10">
        <f>SUM(G2:G29)</f>
        <v>135</v>
      </c>
    </row>
    <row r="31" spans="1:7" x14ac:dyDescent="0.25">
      <c r="A31" s="35" t="s">
        <v>69</v>
      </c>
      <c r="B31" s="35"/>
      <c r="C31" s="35"/>
      <c r="D31" s="35"/>
      <c r="E31" s="35"/>
      <c r="F31" s="35"/>
      <c r="G31" s="10">
        <f>IF(G30&lt;54,1,IF(G30&lt;108,2,IF(G30&lt;162,3,IF(G30&lt;216,4,5))))</f>
        <v>3</v>
      </c>
    </row>
    <row r="32" spans="1:7" x14ac:dyDescent="0.25">
      <c r="A32" s="34" t="s">
        <v>72</v>
      </c>
      <c r="B32" s="34"/>
      <c r="C32" s="34"/>
      <c r="D32" s="42" t="s">
        <v>308</v>
      </c>
      <c r="E32" s="35"/>
      <c r="F32" s="35"/>
      <c r="G32" s="35"/>
    </row>
    <row r="33" spans="1:7" x14ac:dyDescent="0.25">
      <c r="A33" s="34" t="s">
        <v>73</v>
      </c>
      <c r="B33" s="34"/>
      <c r="C33" s="34"/>
      <c r="D33" s="42" t="s">
        <v>306</v>
      </c>
      <c r="E33" s="35"/>
      <c r="F33" s="35"/>
      <c r="G33" s="35"/>
    </row>
    <row r="34" spans="1:7" x14ac:dyDescent="0.25">
      <c r="A34" s="34" t="s">
        <v>91</v>
      </c>
      <c r="B34" s="34"/>
      <c r="C34" s="34"/>
      <c r="D34" s="42" t="s">
        <v>307</v>
      </c>
      <c r="E34" s="35"/>
      <c r="F34" s="35"/>
      <c r="G34" s="35"/>
    </row>
  </sheetData>
  <mergeCells count="8">
    <mergeCell ref="A31:F31"/>
    <mergeCell ref="A30:F30"/>
    <mergeCell ref="A33:C33"/>
    <mergeCell ref="A34:C34"/>
    <mergeCell ref="A32:C32"/>
    <mergeCell ref="D32:G32"/>
    <mergeCell ref="D33:G33"/>
    <mergeCell ref="D34:G34"/>
  </mergeCells>
  <hyperlinks>
    <hyperlink ref="D33" r:id="rId1" xr:uid="{A8A4D0EF-2C39-4289-8FE8-B608796BC8C8}"/>
    <hyperlink ref="D34" r:id="rId2" xr:uid="{39C17322-F2DB-4022-A70F-F896843B9B20}"/>
    <hyperlink ref="D32" r:id="rId3" xr:uid="{6ECB51A9-35E2-4892-9966-9282E51DF2E2}"/>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34"/>
  <sheetViews>
    <sheetView topLeftCell="A17" workbookViewId="0">
      <selection activeCell="F24" sqref="F24"/>
    </sheetView>
  </sheetViews>
  <sheetFormatPr defaultColWidth="16.85546875" defaultRowHeight="15" x14ac:dyDescent="0.25"/>
  <cols>
    <col min="1" max="1" width="12.7109375" style="2" bestFit="1" customWidth="1"/>
    <col min="2" max="2" width="4" style="2" bestFit="1" customWidth="1"/>
    <col min="3" max="3" width="23" style="2" bestFit="1" customWidth="1"/>
    <col min="4" max="4" width="4.7109375" style="2" bestFit="1" customWidth="1"/>
    <col min="5" max="5" width="5" style="2" bestFit="1" customWidth="1"/>
    <col min="6" max="6" width="101.42578125" style="2" customWidth="1"/>
    <col min="7" max="7" width="5" style="2" bestFit="1" customWidth="1"/>
    <col min="8" max="16384" width="16.85546875" style="2"/>
  </cols>
  <sheetData>
    <row r="1" spans="1:7" ht="25.5" x14ac:dyDescent="0.25">
      <c r="A1" s="8" t="s">
        <v>0</v>
      </c>
      <c r="B1" s="8" t="s">
        <v>1</v>
      </c>
      <c r="C1" s="8" t="s">
        <v>2</v>
      </c>
      <c r="D1" s="8" t="s">
        <v>3</v>
      </c>
      <c r="E1" s="8" t="s">
        <v>4</v>
      </c>
      <c r="F1" s="8" t="s">
        <v>5</v>
      </c>
      <c r="G1" s="8" t="s">
        <v>6</v>
      </c>
    </row>
    <row r="2" spans="1:7" ht="102" x14ac:dyDescent="0.25">
      <c r="A2" s="10" t="s">
        <v>7</v>
      </c>
      <c r="B2" s="10" t="s">
        <v>8</v>
      </c>
      <c r="C2" s="10" t="s">
        <v>9</v>
      </c>
      <c r="D2" s="10">
        <v>1</v>
      </c>
      <c r="E2" s="10">
        <v>0</v>
      </c>
      <c r="F2" s="10" t="s">
        <v>461</v>
      </c>
      <c r="G2" s="10">
        <f>E2*D2</f>
        <v>0</v>
      </c>
    </row>
    <row r="3" spans="1:7" ht="76.5" x14ac:dyDescent="0.25">
      <c r="A3" s="10" t="s">
        <v>7</v>
      </c>
      <c r="B3" s="10" t="s">
        <v>10</v>
      </c>
      <c r="C3" s="10" t="s">
        <v>11</v>
      </c>
      <c r="D3" s="10">
        <v>1</v>
      </c>
      <c r="E3" s="10">
        <v>5</v>
      </c>
      <c r="F3" s="10" t="s">
        <v>321</v>
      </c>
      <c r="G3" s="10">
        <f t="shared" ref="G3:G29" si="0">E3*D3</f>
        <v>5</v>
      </c>
    </row>
    <row r="4" spans="1:7" ht="102" x14ac:dyDescent="0.25">
      <c r="A4" s="10" t="s">
        <v>7</v>
      </c>
      <c r="B4" s="10" t="s">
        <v>12</v>
      </c>
      <c r="C4" s="10" t="s">
        <v>13</v>
      </c>
      <c r="D4" s="10">
        <v>1</v>
      </c>
      <c r="E4" s="10">
        <v>0</v>
      </c>
      <c r="F4" s="10" t="s">
        <v>322</v>
      </c>
      <c r="G4" s="10">
        <f t="shared" si="0"/>
        <v>0</v>
      </c>
    </row>
    <row r="5" spans="1:7" ht="89.25" x14ac:dyDescent="0.25">
      <c r="A5" s="10" t="s">
        <v>7</v>
      </c>
      <c r="B5" s="10" t="s">
        <v>14</v>
      </c>
      <c r="C5" s="10" t="s">
        <v>15</v>
      </c>
      <c r="D5" s="10">
        <v>1</v>
      </c>
      <c r="E5" s="10">
        <v>5</v>
      </c>
      <c r="F5" s="10" t="s">
        <v>323</v>
      </c>
      <c r="G5" s="10">
        <f t="shared" si="0"/>
        <v>5</v>
      </c>
    </row>
    <row r="6" spans="1:7" ht="89.25" x14ac:dyDescent="0.25">
      <c r="A6" s="10" t="s">
        <v>7</v>
      </c>
      <c r="B6" s="10" t="s">
        <v>16</v>
      </c>
      <c r="C6" s="10" t="s">
        <v>17</v>
      </c>
      <c r="D6" s="10">
        <v>1</v>
      </c>
      <c r="E6" s="10">
        <v>5</v>
      </c>
      <c r="F6" s="10" t="s">
        <v>509</v>
      </c>
      <c r="G6" s="10">
        <f t="shared" si="0"/>
        <v>5</v>
      </c>
    </row>
    <row r="7" spans="1:7" ht="89.25" x14ac:dyDescent="0.25">
      <c r="A7" s="10" t="s">
        <v>7</v>
      </c>
      <c r="B7" s="10" t="s">
        <v>18</v>
      </c>
      <c r="C7" s="10" t="s">
        <v>19</v>
      </c>
      <c r="D7" s="10">
        <v>1</v>
      </c>
      <c r="E7" s="10">
        <v>5</v>
      </c>
      <c r="F7" s="10" t="s">
        <v>324</v>
      </c>
      <c r="G7" s="10">
        <f t="shared" si="0"/>
        <v>5</v>
      </c>
    </row>
    <row r="8" spans="1:7" ht="51" x14ac:dyDescent="0.25">
      <c r="A8" s="10" t="s">
        <v>7</v>
      </c>
      <c r="B8" s="10" t="s">
        <v>20</v>
      </c>
      <c r="C8" s="10" t="s">
        <v>21</v>
      </c>
      <c r="D8" s="10">
        <v>1</v>
      </c>
      <c r="E8" s="10">
        <v>5</v>
      </c>
      <c r="F8" s="10" t="s">
        <v>325</v>
      </c>
      <c r="G8" s="10">
        <f t="shared" si="0"/>
        <v>5</v>
      </c>
    </row>
    <row r="9" spans="1:7" ht="114.75" x14ac:dyDescent="0.25">
      <c r="A9" s="10" t="s">
        <v>7</v>
      </c>
      <c r="B9" s="10" t="s">
        <v>22</v>
      </c>
      <c r="C9" s="10" t="s">
        <v>23</v>
      </c>
      <c r="D9" s="10">
        <v>1</v>
      </c>
      <c r="E9" s="12">
        <v>2</v>
      </c>
      <c r="F9" s="10" t="s">
        <v>483</v>
      </c>
      <c r="G9" s="10">
        <f t="shared" si="0"/>
        <v>2</v>
      </c>
    </row>
    <row r="10" spans="1:7" ht="165.75" x14ac:dyDescent="0.25">
      <c r="A10" s="10" t="s">
        <v>7</v>
      </c>
      <c r="B10" s="10" t="s">
        <v>24</v>
      </c>
      <c r="C10" s="10" t="s">
        <v>25</v>
      </c>
      <c r="D10" s="10">
        <v>1</v>
      </c>
      <c r="E10" s="12">
        <v>2</v>
      </c>
      <c r="F10" s="10" t="s">
        <v>326</v>
      </c>
      <c r="G10" s="10">
        <f t="shared" si="0"/>
        <v>2</v>
      </c>
    </row>
    <row r="11" spans="1:7" ht="63.75"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174</v>
      </c>
      <c r="G12" s="10">
        <f t="shared" si="0"/>
        <v>15</v>
      </c>
    </row>
    <row r="13" spans="1:7" ht="89.2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63.75" x14ac:dyDescent="0.25">
      <c r="A15" s="10" t="s">
        <v>35</v>
      </c>
      <c r="B15" s="10" t="s">
        <v>36</v>
      </c>
      <c r="C15" s="10" t="s">
        <v>37</v>
      </c>
      <c r="D15" s="10">
        <v>2</v>
      </c>
      <c r="E15" s="10">
        <v>4</v>
      </c>
      <c r="F15" s="10" t="s">
        <v>552</v>
      </c>
      <c r="G15" s="10">
        <f t="shared" si="0"/>
        <v>8</v>
      </c>
    </row>
    <row r="16" spans="1:7" ht="76.5" x14ac:dyDescent="0.25">
      <c r="A16" s="10" t="s">
        <v>35</v>
      </c>
      <c r="B16" s="10" t="s">
        <v>38</v>
      </c>
      <c r="C16" s="10" t="s">
        <v>39</v>
      </c>
      <c r="D16" s="10">
        <v>2</v>
      </c>
      <c r="E16" s="10">
        <v>5</v>
      </c>
      <c r="F16" s="10" t="s">
        <v>532</v>
      </c>
      <c r="G16" s="10">
        <f t="shared" si="0"/>
        <v>10</v>
      </c>
    </row>
    <row r="17" spans="1:7" ht="63.75" x14ac:dyDescent="0.25">
      <c r="A17" s="10" t="s">
        <v>35</v>
      </c>
      <c r="B17" s="10" t="s">
        <v>40</v>
      </c>
      <c r="C17" s="10" t="s">
        <v>41</v>
      </c>
      <c r="D17" s="10">
        <v>2</v>
      </c>
      <c r="E17" s="10">
        <v>3</v>
      </c>
      <c r="F17" s="10" t="s">
        <v>476</v>
      </c>
      <c r="G17" s="10">
        <f t="shared" si="0"/>
        <v>6</v>
      </c>
    </row>
    <row r="18" spans="1:7" ht="114.75" x14ac:dyDescent="0.25">
      <c r="A18" s="10" t="s">
        <v>35</v>
      </c>
      <c r="B18" s="10" t="s">
        <v>42</v>
      </c>
      <c r="C18" s="10" t="s">
        <v>43</v>
      </c>
      <c r="D18" s="10">
        <v>2</v>
      </c>
      <c r="E18" s="10">
        <v>4</v>
      </c>
      <c r="F18" s="10" t="s">
        <v>130</v>
      </c>
      <c r="G18" s="10">
        <f t="shared" si="0"/>
        <v>8</v>
      </c>
    </row>
    <row r="19" spans="1:7" ht="114.75" x14ac:dyDescent="0.25">
      <c r="A19" s="10" t="s">
        <v>35</v>
      </c>
      <c r="B19" s="10" t="s">
        <v>44</v>
      </c>
      <c r="C19" s="10" t="s">
        <v>45</v>
      </c>
      <c r="D19" s="10">
        <v>2</v>
      </c>
      <c r="E19" s="10">
        <v>4</v>
      </c>
      <c r="F19" s="10" t="s">
        <v>327</v>
      </c>
      <c r="G19" s="10">
        <f t="shared" si="0"/>
        <v>8</v>
      </c>
    </row>
    <row r="20" spans="1:7" ht="89.25" x14ac:dyDescent="0.25">
      <c r="A20" s="10" t="s">
        <v>35</v>
      </c>
      <c r="B20" s="10" t="s">
        <v>46</v>
      </c>
      <c r="C20" s="10" t="s">
        <v>47</v>
      </c>
      <c r="D20" s="10">
        <v>2</v>
      </c>
      <c r="E20" s="10">
        <v>5</v>
      </c>
      <c r="F20" s="10" t="s">
        <v>328</v>
      </c>
      <c r="G20" s="10">
        <f t="shared" si="0"/>
        <v>10</v>
      </c>
    </row>
    <row r="21" spans="1:7" ht="63.75" x14ac:dyDescent="0.25">
      <c r="A21" s="10" t="s">
        <v>35</v>
      </c>
      <c r="B21" s="10" t="s">
        <v>48</v>
      </c>
      <c r="C21" s="10" t="s">
        <v>49</v>
      </c>
      <c r="D21" s="10">
        <v>2</v>
      </c>
      <c r="E21" s="10">
        <v>5</v>
      </c>
      <c r="F21" s="10" t="s">
        <v>329</v>
      </c>
      <c r="G21" s="10">
        <f t="shared" si="0"/>
        <v>10</v>
      </c>
    </row>
    <row r="22" spans="1:7" ht="89.25" x14ac:dyDescent="0.25">
      <c r="A22" s="10" t="s">
        <v>50</v>
      </c>
      <c r="B22" s="10" t="s">
        <v>51</v>
      </c>
      <c r="C22" s="10" t="s">
        <v>52</v>
      </c>
      <c r="D22" s="10">
        <v>2</v>
      </c>
      <c r="E22" s="10">
        <v>1</v>
      </c>
      <c r="F22" s="10" t="s">
        <v>510</v>
      </c>
      <c r="G22" s="10">
        <f t="shared" si="0"/>
        <v>2</v>
      </c>
    </row>
    <row r="23" spans="1:7" ht="76.5" x14ac:dyDescent="0.25">
      <c r="A23" s="10" t="s">
        <v>50</v>
      </c>
      <c r="B23" s="10" t="s">
        <v>53</v>
      </c>
      <c r="C23" s="10" t="s">
        <v>54</v>
      </c>
      <c r="D23" s="10">
        <v>2</v>
      </c>
      <c r="E23" s="10">
        <v>2</v>
      </c>
      <c r="F23" s="10" t="s">
        <v>574</v>
      </c>
      <c r="G23" s="10">
        <f t="shared" si="0"/>
        <v>4</v>
      </c>
    </row>
    <row r="24" spans="1:7" ht="153"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89.25" x14ac:dyDescent="0.25">
      <c r="A26" s="10" t="s">
        <v>57</v>
      </c>
      <c r="B26" s="10" t="s">
        <v>60</v>
      </c>
      <c r="C26" s="10" t="s">
        <v>61</v>
      </c>
      <c r="D26" s="10">
        <v>3</v>
      </c>
      <c r="E26" s="10">
        <v>0</v>
      </c>
      <c r="F26" s="10" t="s">
        <v>330</v>
      </c>
      <c r="G26" s="10">
        <f t="shared" si="0"/>
        <v>0</v>
      </c>
    </row>
    <row r="27" spans="1:7" ht="102" x14ac:dyDescent="0.25">
      <c r="A27" s="10" t="s">
        <v>57</v>
      </c>
      <c r="B27" s="10" t="s">
        <v>62</v>
      </c>
      <c r="C27" s="10" t="s">
        <v>63</v>
      </c>
      <c r="D27" s="10">
        <v>3</v>
      </c>
      <c r="E27" s="10">
        <v>0</v>
      </c>
      <c r="F27" s="10" t="s">
        <v>331</v>
      </c>
      <c r="G27" s="10">
        <f t="shared" si="0"/>
        <v>0</v>
      </c>
    </row>
    <row r="28" spans="1:7" ht="102" x14ac:dyDescent="0.25">
      <c r="A28" s="10" t="s">
        <v>57</v>
      </c>
      <c r="B28" s="10" t="s">
        <v>64</v>
      </c>
      <c r="C28" s="10" t="s">
        <v>65</v>
      </c>
      <c r="D28" s="10">
        <v>3</v>
      </c>
      <c r="E28" s="10">
        <v>0</v>
      </c>
      <c r="F28" s="10" t="s">
        <v>373</v>
      </c>
      <c r="G28" s="10">
        <f t="shared" si="0"/>
        <v>0</v>
      </c>
    </row>
    <row r="29" spans="1:7" ht="102" x14ac:dyDescent="0.25">
      <c r="A29" s="10" t="s">
        <v>57</v>
      </c>
      <c r="B29" s="10" t="s">
        <v>66</v>
      </c>
      <c r="C29" s="10" t="s">
        <v>68</v>
      </c>
      <c r="D29" s="10">
        <v>3</v>
      </c>
      <c r="E29" s="10">
        <v>0</v>
      </c>
      <c r="F29" s="10" t="s">
        <v>332</v>
      </c>
      <c r="G29" s="10">
        <f t="shared" si="0"/>
        <v>0</v>
      </c>
    </row>
    <row r="30" spans="1:7" x14ac:dyDescent="0.25">
      <c r="A30" s="35" t="s">
        <v>67</v>
      </c>
      <c r="B30" s="35"/>
      <c r="C30" s="35"/>
      <c r="D30" s="35"/>
      <c r="E30" s="35"/>
      <c r="F30" s="35"/>
      <c r="G30" s="10">
        <f>SUM(G2:G29)</f>
        <v>137</v>
      </c>
    </row>
    <row r="31" spans="1:7" x14ac:dyDescent="0.25">
      <c r="A31" s="35" t="s">
        <v>69</v>
      </c>
      <c r="B31" s="35"/>
      <c r="C31" s="35"/>
      <c r="D31" s="35"/>
      <c r="E31" s="35"/>
      <c r="F31" s="35"/>
      <c r="G31" s="10">
        <f>IF(G30&lt;54,1,IF(G30&lt;108,2,IF(G30&lt;162,3,IF(G30&lt;216,4,5))))</f>
        <v>3</v>
      </c>
    </row>
    <row r="32" spans="1:7" x14ac:dyDescent="0.25">
      <c r="A32" s="34" t="s">
        <v>72</v>
      </c>
      <c r="B32" s="34"/>
      <c r="C32" s="34"/>
      <c r="D32" s="42" t="s">
        <v>335</v>
      </c>
      <c r="E32" s="35"/>
      <c r="F32" s="35"/>
      <c r="G32" s="35"/>
    </row>
    <row r="33" spans="1:7" x14ac:dyDescent="0.25">
      <c r="A33" s="34" t="s">
        <v>73</v>
      </c>
      <c r="B33" s="34"/>
      <c r="C33" s="34"/>
      <c r="D33" s="42" t="s">
        <v>333</v>
      </c>
      <c r="E33" s="35"/>
      <c r="F33" s="35"/>
      <c r="G33" s="35"/>
    </row>
    <row r="34" spans="1:7" x14ac:dyDescent="0.25">
      <c r="A34" s="34" t="s">
        <v>91</v>
      </c>
      <c r="B34" s="34"/>
      <c r="C34" s="34"/>
      <c r="D34" s="42" t="s">
        <v>334</v>
      </c>
      <c r="E34" s="35"/>
      <c r="F34" s="35"/>
      <c r="G34" s="35"/>
    </row>
  </sheetData>
  <mergeCells count="8">
    <mergeCell ref="A30:F30"/>
    <mergeCell ref="A31:F31"/>
    <mergeCell ref="A33:C33"/>
    <mergeCell ref="A32:C32"/>
    <mergeCell ref="A34:C34"/>
    <mergeCell ref="D32:G32"/>
    <mergeCell ref="D33:G33"/>
    <mergeCell ref="D34:G34"/>
  </mergeCells>
  <hyperlinks>
    <hyperlink ref="D33" r:id="rId1" xr:uid="{11C79EAC-FCC9-427E-B26E-D95CACB15BE1}"/>
    <hyperlink ref="D34" r:id="rId2" xr:uid="{920869E8-1C8B-46DD-B471-80AA8CED9CB7}"/>
    <hyperlink ref="D32" r:id="rId3" xr:uid="{54961E72-6419-4F2C-BC4D-B149780C99C9}"/>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34"/>
  <sheetViews>
    <sheetView topLeftCell="B17" workbookViewId="0">
      <selection activeCell="F23" sqref="F23"/>
    </sheetView>
  </sheetViews>
  <sheetFormatPr defaultColWidth="18.7109375" defaultRowHeight="15" x14ac:dyDescent="0.25"/>
  <cols>
    <col min="1" max="1" width="12.7109375" style="2" bestFit="1" customWidth="1"/>
    <col min="2" max="2" width="4" style="2" bestFit="1" customWidth="1"/>
    <col min="3" max="3" width="21.7109375" style="2" bestFit="1" customWidth="1"/>
    <col min="4" max="4" width="4.7109375" style="2" bestFit="1" customWidth="1"/>
    <col min="5" max="5" width="5" style="2" bestFit="1" customWidth="1"/>
    <col min="6" max="6" width="93.42578125" style="2" customWidth="1"/>
    <col min="7" max="7" width="5" style="2" bestFit="1" customWidth="1"/>
    <col min="8" max="16384" width="18.7109375" style="2"/>
  </cols>
  <sheetData>
    <row r="1" spans="1:7" ht="25.5" x14ac:dyDescent="0.25">
      <c r="A1" s="8" t="s">
        <v>0</v>
      </c>
      <c r="B1" s="8" t="s">
        <v>1</v>
      </c>
      <c r="C1" s="8" t="s">
        <v>2</v>
      </c>
      <c r="D1" s="8" t="s">
        <v>3</v>
      </c>
      <c r="E1" s="8" t="s">
        <v>4</v>
      </c>
      <c r="F1" s="8" t="s">
        <v>5</v>
      </c>
      <c r="G1" s="8" t="s">
        <v>6</v>
      </c>
    </row>
    <row r="2" spans="1:7" ht="114.75" x14ac:dyDescent="0.25">
      <c r="A2" s="10" t="s">
        <v>7</v>
      </c>
      <c r="B2" s="10" t="s">
        <v>8</v>
      </c>
      <c r="C2" s="10" t="s">
        <v>9</v>
      </c>
      <c r="D2" s="10">
        <v>1</v>
      </c>
      <c r="E2" s="10">
        <v>0</v>
      </c>
      <c r="F2" s="10" t="s">
        <v>336</v>
      </c>
      <c r="G2" s="10">
        <f>E2*D2</f>
        <v>0</v>
      </c>
    </row>
    <row r="3" spans="1:7" ht="63.75" x14ac:dyDescent="0.25">
      <c r="A3" s="10" t="s">
        <v>7</v>
      </c>
      <c r="B3" s="10" t="s">
        <v>10</v>
      </c>
      <c r="C3" s="10" t="s">
        <v>11</v>
      </c>
      <c r="D3" s="10">
        <v>1</v>
      </c>
      <c r="E3" s="10">
        <v>5</v>
      </c>
      <c r="F3" s="10" t="s">
        <v>337</v>
      </c>
      <c r="G3" s="10">
        <f t="shared" ref="G3:G29" si="0">E3*D3</f>
        <v>5</v>
      </c>
    </row>
    <row r="4" spans="1:7" ht="114.75" x14ac:dyDescent="0.25">
      <c r="A4" s="10" t="s">
        <v>7</v>
      </c>
      <c r="B4" s="10" t="s">
        <v>12</v>
      </c>
      <c r="C4" s="10" t="s">
        <v>13</v>
      </c>
      <c r="D4" s="10">
        <v>1</v>
      </c>
      <c r="E4" s="10">
        <v>0</v>
      </c>
      <c r="F4" s="10" t="s">
        <v>462</v>
      </c>
      <c r="G4" s="10">
        <f t="shared" si="0"/>
        <v>0</v>
      </c>
    </row>
    <row r="5" spans="1:7" ht="63.75" x14ac:dyDescent="0.25">
      <c r="A5" s="10" t="s">
        <v>7</v>
      </c>
      <c r="B5" s="10" t="s">
        <v>14</v>
      </c>
      <c r="C5" s="10" t="s">
        <v>15</v>
      </c>
      <c r="D5" s="10">
        <v>1</v>
      </c>
      <c r="E5" s="10">
        <v>5</v>
      </c>
      <c r="F5" s="10" t="s">
        <v>338</v>
      </c>
      <c r="G5" s="10">
        <f t="shared" si="0"/>
        <v>5</v>
      </c>
    </row>
    <row r="6" spans="1:7" ht="102" x14ac:dyDescent="0.25">
      <c r="A6" s="10" t="s">
        <v>7</v>
      </c>
      <c r="B6" s="10" t="s">
        <v>16</v>
      </c>
      <c r="C6" s="10" t="s">
        <v>17</v>
      </c>
      <c r="D6" s="10">
        <v>1</v>
      </c>
      <c r="E6" s="10">
        <v>5</v>
      </c>
      <c r="F6" s="10" t="s">
        <v>339</v>
      </c>
      <c r="G6" s="10">
        <f t="shared" si="0"/>
        <v>5</v>
      </c>
    </row>
    <row r="7" spans="1:7" ht="63.75" x14ac:dyDescent="0.25">
      <c r="A7" s="10" t="s">
        <v>7</v>
      </c>
      <c r="B7" s="10" t="s">
        <v>18</v>
      </c>
      <c r="C7" s="10" t="s">
        <v>19</v>
      </c>
      <c r="D7" s="10">
        <v>1</v>
      </c>
      <c r="E7" s="10">
        <v>5</v>
      </c>
      <c r="F7" s="10" t="s">
        <v>340</v>
      </c>
      <c r="G7" s="10">
        <f t="shared" si="0"/>
        <v>5</v>
      </c>
    </row>
    <row r="8" spans="1:7" ht="76.5" x14ac:dyDescent="0.25">
      <c r="A8" s="10" t="s">
        <v>7</v>
      </c>
      <c r="B8" s="10" t="s">
        <v>20</v>
      </c>
      <c r="C8" s="10" t="s">
        <v>21</v>
      </c>
      <c r="D8" s="10">
        <v>1</v>
      </c>
      <c r="E8" s="10">
        <v>5</v>
      </c>
      <c r="F8" s="10" t="s">
        <v>341</v>
      </c>
      <c r="G8" s="10">
        <f t="shared" si="0"/>
        <v>5</v>
      </c>
    </row>
    <row r="9" spans="1:7" ht="140.25" x14ac:dyDescent="0.25">
      <c r="A9" s="10" t="s">
        <v>7</v>
      </c>
      <c r="B9" s="10" t="s">
        <v>22</v>
      </c>
      <c r="C9" s="10" t="s">
        <v>23</v>
      </c>
      <c r="D9" s="10">
        <v>1</v>
      </c>
      <c r="E9" s="12">
        <v>2</v>
      </c>
      <c r="F9" s="10" t="s">
        <v>483</v>
      </c>
      <c r="G9" s="10">
        <f t="shared" si="0"/>
        <v>2</v>
      </c>
    </row>
    <row r="10" spans="1:7" ht="165.75" x14ac:dyDescent="0.25">
      <c r="A10" s="10" t="s">
        <v>7</v>
      </c>
      <c r="B10" s="10" t="s">
        <v>24</v>
      </c>
      <c r="C10" s="10" t="s">
        <v>25</v>
      </c>
      <c r="D10" s="10">
        <v>1</v>
      </c>
      <c r="E10" s="12">
        <v>2</v>
      </c>
      <c r="F10" s="10" t="s">
        <v>342</v>
      </c>
      <c r="G10" s="10">
        <f t="shared" si="0"/>
        <v>2</v>
      </c>
    </row>
    <row r="11" spans="1:7" ht="63.75"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175</v>
      </c>
      <c r="G12" s="10">
        <f t="shared" si="0"/>
        <v>15</v>
      </c>
    </row>
    <row r="13" spans="1:7" ht="89.2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76.5" x14ac:dyDescent="0.25">
      <c r="A15" s="10" t="s">
        <v>35</v>
      </c>
      <c r="B15" s="10" t="s">
        <v>36</v>
      </c>
      <c r="C15" s="10" t="s">
        <v>37</v>
      </c>
      <c r="D15" s="10">
        <v>2</v>
      </c>
      <c r="E15" s="10">
        <v>4</v>
      </c>
      <c r="F15" s="10" t="s">
        <v>553</v>
      </c>
      <c r="G15" s="10">
        <f t="shared" si="0"/>
        <v>8</v>
      </c>
    </row>
    <row r="16" spans="1:7" ht="114.75" x14ac:dyDescent="0.25">
      <c r="A16" s="10" t="s">
        <v>35</v>
      </c>
      <c r="B16" s="10" t="s">
        <v>38</v>
      </c>
      <c r="C16" s="10" t="s">
        <v>39</v>
      </c>
      <c r="D16" s="10">
        <v>2</v>
      </c>
      <c r="E16" s="10">
        <v>5</v>
      </c>
      <c r="F16" s="10" t="s">
        <v>343</v>
      </c>
      <c r="G16" s="10">
        <f t="shared" si="0"/>
        <v>10</v>
      </c>
    </row>
    <row r="17" spans="1:7" ht="51" x14ac:dyDescent="0.25">
      <c r="A17" s="10" t="s">
        <v>35</v>
      </c>
      <c r="B17" s="10" t="s">
        <v>40</v>
      </c>
      <c r="C17" s="10" t="s">
        <v>41</v>
      </c>
      <c r="D17" s="10">
        <v>2</v>
      </c>
      <c r="E17" s="10">
        <v>3</v>
      </c>
      <c r="F17" s="10" t="s">
        <v>344</v>
      </c>
      <c r="G17" s="10">
        <f t="shared" si="0"/>
        <v>6</v>
      </c>
    </row>
    <row r="18" spans="1:7" ht="114.75" x14ac:dyDescent="0.25">
      <c r="A18" s="10" t="s">
        <v>35</v>
      </c>
      <c r="B18" s="10" t="s">
        <v>42</v>
      </c>
      <c r="C18" s="10" t="s">
        <v>43</v>
      </c>
      <c r="D18" s="10">
        <v>2</v>
      </c>
      <c r="E18" s="10">
        <v>4</v>
      </c>
      <c r="F18" s="10" t="s">
        <v>130</v>
      </c>
      <c r="G18" s="10">
        <f t="shared" si="0"/>
        <v>8</v>
      </c>
    </row>
    <row r="19" spans="1:7" ht="76.5" x14ac:dyDescent="0.25">
      <c r="A19" s="10" t="s">
        <v>35</v>
      </c>
      <c r="B19" s="10" t="s">
        <v>44</v>
      </c>
      <c r="C19" s="10" t="s">
        <v>45</v>
      </c>
      <c r="D19" s="10">
        <v>2</v>
      </c>
      <c r="E19" s="10">
        <v>4</v>
      </c>
      <c r="F19" s="10" t="s">
        <v>345</v>
      </c>
      <c r="G19" s="10">
        <f t="shared" si="0"/>
        <v>8</v>
      </c>
    </row>
    <row r="20" spans="1:7" ht="102" x14ac:dyDescent="0.25">
      <c r="A20" s="10" t="s">
        <v>35</v>
      </c>
      <c r="B20" s="10" t="s">
        <v>46</v>
      </c>
      <c r="C20" s="10" t="s">
        <v>47</v>
      </c>
      <c r="D20" s="10">
        <v>2</v>
      </c>
      <c r="E20" s="10">
        <v>5</v>
      </c>
      <c r="F20" s="10" t="s">
        <v>346</v>
      </c>
      <c r="G20" s="10">
        <f t="shared" si="0"/>
        <v>10</v>
      </c>
    </row>
    <row r="21" spans="1:7" ht="63.75" x14ac:dyDescent="0.25">
      <c r="A21" s="10" t="s">
        <v>35</v>
      </c>
      <c r="B21" s="10" t="s">
        <v>48</v>
      </c>
      <c r="C21" s="10" t="s">
        <v>49</v>
      </c>
      <c r="D21" s="10">
        <v>2</v>
      </c>
      <c r="E21" s="10">
        <v>5</v>
      </c>
      <c r="F21" s="10" t="s">
        <v>347</v>
      </c>
      <c r="G21" s="10">
        <f t="shared" si="0"/>
        <v>10</v>
      </c>
    </row>
    <row r="22" spans="1:7" ht="114.75" x14ac:dyDescent="0.25">
      <c r="A22" s="10" t="s">
        <v>50</v>
      </c>
      <c r="B22" s="10" t="s">
        <v>51</v>
      </c>
      <c r="C22" s="10" t="s">
        <v>52</v>
      </c>
      <c r="D22" s="10">
        <v>2</v>
      </c>
      <c r="E22" s="10">
        <v>1</v>
      </c>
      <c r="F22" s="10" t="s">
        <v>348</v>
      </c>
      <c r="G22" s="10">
        <f t="shared" si="0"/>
        <v>2</v>
      </c>
    </row>
    <row r="23" spans="1:7" ht="76.5" x14ac:dyDescent="0.25">
      <c r="A23" s="10" t="s">
        <v>50</v>
      </c>
      <c r="B23" s="10" t="s">
        <v>53</v>
      </c>
      <c r="C23" s="10" t="s">
        <v>54</v>
      </c>
      <c r="D23" s="10">
        <v>2</v>
      </c>
      <c r="E23" s="10">
        <v>2</v>
      </c>
      <c r="F23" s="10" t="s">
        <v>575</v>
      </c>
      <c r="G23" s="10">
        <f t="shared" si="0"/>
        <v>4</v>
      </c>
    </row>
    <row r="24" spans="1:7" ht="153"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63.75" x14ac:dyDescent="0.25">
      <c r="A26" s="10" t="s">
        <v>57</v>
      </c>
      <c r="B26" s="10" t="s">
        <v>60</v>
      </c>
      <c r="C26" s="10" t="s">
        <v>61</v>
      </c>
      <c r="D26" s="10">
        <v>3</v>
      </c>
      <c r="E26" s="10">
        <v>0</v>
      </c>
      <c r="F26" s="10" t="s">
        <v>511</v>
      </c>
      <c r="G26" s="10">
        <f t="shared" si="0"/>
        <v>0</v>
      </c>
    </row>
    <row r="27" spans="1:7" ht="114.75" x14ac:dyDescent="0.25">
      <c r="A27" s="10" t="s">
        <v>57</v>
      </c>
      <c r="B27" s="10" t="s">
        <v>62</v>
      </c>
      <c r="C27" s="10" t="s">
        <v>63</v>
      </c>
      <c r="D27" s="10">
        <v>3</v>
      </c>
      <c r="E27" s="10">
        <v>0</v>
      </c>
      <c r="F27" s="10" t="s">
        <v>349</v>
      </c>
      <c r="G27" s="10">
        <f t="shared" si="0"/>
        <v>0</v>
      </c>
    </row>
    <row r="28" spans="1:7" ht="102" x14ac:dyDescent="0.25">
      <c r="A28" s="10" t="s">
        <v>57</v>
      </c>
      <c r="B28" s="10" t="s">
        <v>64</v>
      </c>
      <c r="C28" s="10" t="s">
        <v>65</v>
      </c>
      <c r="D28" s="10">
        <v>3</v>
      </c>
      <c r="E28" s="10">
        <v>0</v>
      </c>
      <c r="F28" s="10" t="s">
        <v>350</v>
      </c>
      <c r="G28" s="10">
        <f t="shared" si="0"/>
        <v>0</v>
      </c>
    </row>
    <row r="29" spans="1:7" ht="102" x14ac:dyDescent="0.25">
      <c r="A29" s="10" t="s">
        <v>57</v>
      </c>
      <c r="B29" s="10" t="s">
        <v>66</v>
      </c>
      <c r="C29" s="10" t="s">
        <v>68</v>
      </c>
      <c r="D29" s="10">
        <v>3</v>
      </c>
      <c r="E29" s="10">
        <v>0</v>
      </c>
      <c r="F29" s="10" t="s">
        <v>351</v>
      </c>
      <c r="G29" s="10">
        <f t="shared" si="0"/>
        <v>0</v>
      </c>
    </row>
    <row r="30" spans="1:7" x14ac:dyDescent="0.25">
      <c r="A30" s="46" t="s">
        <v>67</v>
      </c>
      <c r="B30" s="46"/>
      <c r="C30" s="46"/>
      <c r="D30" s="46"/>
      <c r="E30" s="46"/>
      <c r="F30" s="46"/>
      <c r="G30" s="10">
        <f>SUM(G2:G29)</f>
        <v>137</v>
      </c>
    </row>
    <row r="31" spans="1:7" x14ac:dyDescent="0.25">
      <c r="A31" s="46" t="s">
        <v>69</v>
      </c>
      <c r="B31" s="46"/>
      <c r="C31" s="46"/>
      <c r="D31" s="46"/>
      <c r="E31" s="46"/>
      <c r="F31" s="46"/>
      <c r="G31" s="10">
        <f>IF(G30&lt;54,1,IF(G30&lt;108,2,IF(G30&lt;162,3,IF(G30&lt;216,4,5))))</f>
        <v>3</v>
      </c>
    </row>
    <row r="32" spans="1:7" x14ac:dyDescent="0.25">
      <c r="A32" s="47" t="s">
        <v>72</v>
      </c>
      <c r="B32" s="47"/>
      <c r="C32" s="47"/>
      <c r="D32" s="48" t="s">
        <v>353</v>
      </c>
      <c r="E32" s="49"/>
      <c r="F32" s="49"/>
      <c r="G32" s="49"/>
    </row>
    <row r="33" spans="1:7" x14ac:dyDescent="0.25">
      <c r="A33" s="47" t="s">
        <v>73</v>
      </c>
      <c r="B33" s="47"/>
      <c r="C33" s="47"/>
      <c r="D33" s="48" t="s">
        <v>352</v>
      </c>
      <c r="E33" s="49"/>
      <c r="F33" s="49"/>
      <c r="G33" s="49"/>
    </row>
    <row r="34" spans="1:7" x14ac:dyDescent="0.25">
      <c r="A34" s="47" t="s">
        <v>91</v>
      </c>
      <c r="B34" s="47"/>
      <c r="C34" s="47"/>
      <c r="D34" s="48" t="s">
        <v>354</v>
      </c>
      <c r="E34" s="49"/>
      <c r="F34" s="49"/>
      <c r="G34" s="49"/>
    </row>
  </sheetData>
  <mergeCells count="8">
    <mergeCell ref="A30:F30"/>
    <mergeCell ref="A31:F31"/>
    <mergeCell ref="A32:C32"/>
    <mergeCell ref="A33:C33"/>
    <mergeCell ref="A34:C34"/>
    <mergeCell ref="D32:G32"/>
    <mergeCell ref="D33:G33"/>
    <mergeCell ref="D34:G34"/>
  </mergeCells>
  <hyperlinks>
    <hyperlink ref="D33" r:id="rId1" xr:uid="{43A8CF99-2D9C-46AB-8AB9-598A1C12DCEC}"/>
    <hyperlink ref="D32" r:id="rId2" xr:uid="{8ECD9FE1-A06F-4253-8F2A-BF777F7C35C2}"/>
    <hyperlink ref="D34" r:id="rId3" xr:uid="{6A3FF445-64ED-45F6-9C3C-28F95686AB5B}"/>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34"/>
  <sheetViews>
    <sheetView topLeftCell="A13" workbookViewId="0">
      <selection activeCell="F23" sqref="F23"/>
    </sheetView>
  </sheetViews>
  <sheetFormatPr defaultColWidth="17.5703125" defaultRowHeight="15" x14ac:dyDescent="0.25"/>
  <cols>
    <col min="1" max="1" width="14" style="2" bestFit="1" customWidth="1"/>
    <col min="2" max="2" width="4.28515625" style="2" bestFit="1" customWidth="1"/>
    <col min="3" max="3" width="20.5703125" style="2" customWidth="1"/>
    <col min="4" max="4" width="5.28515625" style="2" bestFit="1" customWidth="1"/>
    <col min="5" max="5" width="6" style="2" customWidth="1"/>
    <col min="6" max="6" width="117.5703125" style="2" customWidth="1"/>
    <col min="7" max="7" width="5.42578125" style="2" bestFit="1" customWidth="1"/>
    <col min="8" max="16384" width="17.5703125" style="2"/>
  </cols>
  <sheetData>
    <row r="1" spans="1:9" ht="25.5" x14ac:dyDescent="0.25">
      <c r="A1" s="8" t="s">
        <v>0</v>
      </c>
      <c r="B1" s="8" t="s">
        <v>1</v>
      </c>
      <c r="C1" s="8" t="s">
        <v>2</v>
      </c>
      <c r="D1" s="8" t="s">
        <v>3</v>
      </c>
      <c r="E1" s="8" t="s">
        <v>4</v>
      </c>
      <c r="F1" s="8" t="s">
        <v>5</v>
      </c>
      <c r="G1" s="8" t="s">
        <v>6</v>
      </c>
      <c r="H1" s="5"/>
      <c r="I1" s="5"/>
    </row>
    <row r="2" spans="1:9" ht="89.25" x14ac:dyDescent="0.25">
      <c r="A2" s="10" t="s">
        <v>7</v>
      </c>
      <c r="B2" s="10" t="s">
        <v>8</v>
      </c>
      <c r="C2" s="10" t="s">
        <v>9</v>
      </c>
      <c r="D2" s="10">
        <v>1</v>
      </c>
      <c r="E2" s="10">
        <v>0</v>
      </c>
      <c r="F2" s="10" t="s">
        <v>463</v>
      </c>
      <c r="G2" s="10">
        <f>E2*D2</f>
        <v>0</v>
      </c>
      <c r="H2" s="5"/>
      <c r="I2" s="5"/>
    </row>
    <row r="3" spans="1:9" ht="76.5" x14ac:dyDescent="0.25">
      <c r="A3" s="10" t="s">
        <v>7</v>
      </c>
      <c r="B3" s="10" t="s">
        <v>10</v>
      </c>
      <c r="C3" s="10" t="s">
        <v>11</v>
      </c>
      <c r="D3" s="10">
        <v>1</v>
      </c>
      <c r="E3" s="10">
        <v>0</v>
      </c>
      <c r="F3" s="10" t="s">
        <v>361</v>
      </c>
      <c r="G3" s="10">
        <f t="shared" ref="G3:G29" si="0">E3*D3</f>
        <v>0</v>
      </c>
      <c r="H3" s="5"/>
      <c r="I3" s="5"/>
    </row>
    <row r="4" spans="1:9" ht="89.25" x14ac:dyDescent="0.25">
      <c r="A4" s="10" t="s">
        <v>7</v>
      </c>
      <c r="B4" s="10" t="s">
        <v>12</v>
      </c>
      <c r="C4" s="10" t="s">
        <v>13</v>
      </c>
      <c r="D4" s="10">
        <v>1</v>
      </c>
      <c r="E4" s="10">
        <v>0</v>
      </c>
      <c r="F4" s="10" t="s">
        <v>464</v>
      </c>
      <c r="G4" s="10">
        <f t="shared" si="0"/>
        <v>0</v>
      </c>
      <c r="H4" s="5"/>
      <c r="I4" s="5"/>
    </row>
    <row r="5" spans="1:9" ht="51" x14ac:dyDescent="0.25">
      <c r="A5" s="10" t="s">
        <v>7</v>
      </c>
      <c r="B5" s="10" t="s">
        <v>14</v>
      </c>
      <c r="C5" s="10" t="s">
        <v>15</v>
      </c>
      <c r="D5" s="10">
        <v>1</v>
      </c>
      <c r="E5" s="10">
        <v>5</v>
      </c>
      <c r="F5" s="10" t="s">
        <v>362</v>
      </c>
      <c r="G5" s="10">
        <f t="shared" si="0"/>
        <v>5</v>
      </c>
      <c r="H5" s="5"/>
      <c r="I5" s="5"/>
    </row>
    <row r="6" spans="1:9" ht="63.75" x14ac:dyDescent="0.25">
      <c r="A6" s="10" t="s">
        <v>7</v>
      </c>
      <c r="B6" s="10" t="s">
        <v>16</v>
      </c>
      <c r="C6" s="10" t="s">
        <v>17</v>
      </c>
      <c r="D6" s="10">
        <v>1</v>
      </c>
      <c r="E6" s="10">
        <v>5</v>
      </c>
      <c r="F6" s="10" t="s">
        <v>363</v>
      </c>
      <c r="G6" s="10">
        <f t="shared" si="0"/>
        <v>5</v>
      </c>
      <c r="H6" s="5"/>
      <c r="I6" s="5"/>
    </row>
    <row r="7" spans="1:9" ht="51" x14ac:dyDescent="0.25">
      <c r="A7" s="10" t="s">
        <v>7</v>
      </c>
      <c r="B7" s="10" t="s">
        <v>18</v>
      </c>
      <c r="C7" s="10" t="s">
        <v>19</v>
      </c>
      <c r="D7" s="10">
        <v>1</v>
      </c>
      <c r="E7" s="10">
        <v>5</v>
      </c>
      <c r="F7" s="10" t="s">
        <v>364</v>
      </c>
      <c r="G7" s="10">
        <f t="shared" si="0"/>
        <v>5</v>
      </c>
      <c r="H7" s="5"/>
      <c r="I7" s="5"/>
    </row>
    <row r="8" spans="1:9" ht="63.75" x14ac:dyDescent="0.25">
      <c r="A8" s="10" t="s">
        <v>7</v>
      </c>
      <c r="B8" s="10" t="s">
        <v>20</v>
      </c>
      <c r="C8" s="10" t="s">
        <v>21</v>
      </c>
      <c r="D8" s="10">
        <v>1</v>
      </c>
      <c r="E8" s="10">
        <v>5</v>
      </c>
      <c r="F8" s="10" t="s">
        <v>365</v>
      </c>
      <c r="G8" s="10">
        <f t="shared" si="0"/>
        <v>5</v>
      </c>
      <c r="H8" s="5"/>
      <c r="I8" s="5"/>
    </row>
    <row r="9" spans="1:9" ht="114.75" x14ac:dyDescent="0.25">
      <c r="A9" s="10" t="s">
        <v>7</v>
      </c>
      <c r="B9" s="10" t="s">
        <v>22</v>
      </c>
      <c r="C9" s="10" t="s">
        <v>23</v>
      </c>
      <c r="D9" s="10">
        <v>1</v>
      </c>
      <c r="E9" s="12">
        <v>2</v>
      </c>
      <c r="F9" s="10" t="s">
        <v>483</v>
      </c>
      <c r="G9" s="10">
        <f t="shared" si="0"/>
        <v>2</v>
      </c>
      <c r="H9" s="5"/>
      <c r="I9" s="5"/>
    </row>
    <row r="10" spans="1:9" ht="140.25" x14ac:dyDescent="0.25">
      <c r="A10" s="10" t="s">
        <v>7</v>
      </c>
      <c r="B10" s="10" t="s">
        <v>24</v>
      </c>
      <c r="C10" s="10" t="s">
        <v>25</v>
      </c>
      <c r="D10" s="10">
        <v>1</v>
      </c>
      <c r="E10" s="12">
        <v>2</v>
      </c>
      <c r="F10" s="10" t="s">
        <v>366</v>
      </c>
      <c r="G10" s="10">
        <f t="shared" si="0"/>
        <v>2</v>
      </c>
      <c r="H10" s="5"/>
      <c r="I10" s="5"/>
    </row>
    <row r="11" spans="1:9" ht="51" x14ac:dyDescent="0.25">
      <c r="A11" s="10" t="s">
        <v>7</v>
      </c>
      <c r="B11" s="10" t="s">
        <v>26</v>
      </c>
      <c r="C11" s="10" t="s">
        <v>27</v>
      </c>
      <c r="D11" s="10">
        <v>1</v>
      </c>
      <c r="E11" s="12">
        <v>0</v>
      </c>
      <c r="F11" s="10" t="s">
        <v>473</v>
      </c>
      <c r="G11" s="10">
        <f t="shared" si="0"/>
        <v>0</v>
      </c>
      <c r="H11" s="5"/>
      <c r="I11" s="5"/>
    </row>
    <row r="12" spans="1:9" ht="63.75" x14ac:dyDescent="0.25">
      <c r="A12" s="10" t="s">
        <v>28</v>
      </c>
      <c r="B12" s="10" t="s">
        <v>29</v>
      </c>
      <c r="C12" s="10" t="s">
        <v>30</v>
      </c>
      <c r="D12" s="10">
        <v>3</v>
      </c>
      <c r="E12" s="12">
        <v>5</v>
      </c>
      <c r="F12" s="10" t="s">
        <v>176</v>
      </c>
      <c r="G12" s="10">
        <f t="shared" si="0"/>
        <v>15</v>
      </c>
      <c r="H12" s="5"/>
      <c r="I12" s="5"/>
    </row>
    <row r="13" spans="1:9" ht="76.5" x14ac:dyDescent="0.25">
      <c r="A13" s="10" t="s">
        <v>28</v>
      </c>
      <c r="B13" s="10" t="s">
        <v>31</v>
      </c>
      <c r="C13" s="10" t="s">
        <v>32</v>
      </c>
      <c r="D13" s="10">
        <v>3</v>
      </c>
      <c r="E13" s="10">
        <v>4</v>
      </c>
      <c r="F13" s="10" t="s">
        <v>127</v>
      </c>
      <c r="G13" s="10">
        <f t="shared" si="0"/>
        <v>12</v>
      </c>
      <c r="H13" s="5"/>
      <c r="I13" s="5"/>
    </row>
    <row r="14" spans="1:9" ht="38.25" x14ac:dyDescent="0.25">
      <c r="A14" s="10" t="s">
        <v>28</v>
      </c>
      <c r="B14" s="10" t="s">
        <v>33</v>
      </c>
      <c r="C14" s="10" t="s">
        <v>34</v>
      </c>
      <c r="D14" s="10">
        <v>3</v>
      </c>
      <c r="E14" s="10">
        <v>2</v>
      </c>
      <c r="F14" s="10" t="s">
        <v>113</v>
      </c>
      <c r="G14" s="10">
        <f t="shared" si="0"/>
        <v>6</v>
      </c>
      <c r="H14" s="5"/>
      <c r="I14" s="5"/>
    </row>
    <row r="15" spans="1:9" ht="89.25" x14ac:dyDescent="0.25">
      <c r="A15" s="10" t="s">
        <v>35</v>
      </c>
      <c r="B15" s="10" t="s">
        <v>36</v>
      </c>
      <c r="C15" s="10" t="s">
        <v>37</v>
      </c>
      <c r="D15" s="10">
        <v>2</v>
      </c>
      <c r="E15" s="10">
        <v>3</v>
      </c>
      <c r="F15" s="10" t="s">
        <v>554</v>
      </c>
      <c r="G15" s="10">
        <f t="shared" si="0"/>
        <v>6</v>
      </c>
      <c r="H15" s="5"/>
      <c r="I15" s="5"/>
    </row>
    <row r="16" spans="1:9" ht="76.5" x14ac:dyDescent="0.25">
      <c r="A16" s="10" t="s">
        <v>35</v>
      </c>
      <c r="B16" s="10" t="s">
        <v>38</v>
      </c>
      <c r="C16" s="10" t="s">
        <v>39</v>
      </c>
      <c r="D16" s="10">
        <v>2</v>
      </c>
      <c r="E16" s="10">
        <v>5</v>
      </c>
      <c r="F16" s="10" t="s">
        <v>367</v>
      </c>
      <c r="G16" s="10">
        <f t="shared" si="0"/>
        <v>10</v>
      </c>
      <c r="H16" s="5"/>
      <c r="I16" s="5"/>
    </row>
    <row r="17" spans="1:9" ht="38.25" x14ac:dyDescent="0.25">
      <c r="A17" s="10" t="s">
        <v>35</v>
      </c>
      <c r="B17" s="10" t="s">
        <v>40</v>
      </c>
      <c r="C17" s="10" t="s">
        <v>41</v>
      </c>
      <c r="D17" s="10">
        <v>2</v>
      </c>
      <c r="E17" s="10">
        <v>2</v>
      </c>
      <c r="F17" s="10" t="s">
        <v>569</v>
      </c>
      <c r="G17" s="10">
        <f t="shared" si="0"/>
        <v>4</v>
      </c>
      <c r="H17" s="5"/>
      <c r="I17" s="5"/>
    </row>
    <row r="18" spans="1:9" ht="102" x14ac:dyDescent="0.25">
      <c r="A18" s="10" t="s">
        <v>35</v>
      </c>
      <c r="B18" s="10" t="s">
        <v>42</v>
      </c>
      <c r="C18" s="10" t="s">
        <v>43</v>
      </c>
      <c r="D18" s="10">
        <v>2</v>
      </c>
      <c r="E18" s="10">
        <v>4</v>
      </c>
      <c r="F18" s="10" t="s">
        <v>130</v>
      </c>
      <c r="G18" s="10">
        <f t="shared" si="0"/>
        <v>8</v>
      </c>
      <c r="H18" s="5"/>
      <c r="I18" s="5"/>
    </row>
    <row r="19" spans="1:9" ht="76.5" x14ac:dyDescent="0.25">
      <c r="A19" s="10" t="s">
        <v>35</v>
      </c>
      <c r="B19" s="10" t="s">
        <v>44</v>
      </c>
      <c r="C19" s="10" t="s">
        <v>45</v>
      </c>
      <c r="D19" s="10">
        <v>2</v>
      </c>
      <c r="E19" s="10">
        <v>5</v>
      </c>
      <c r="F19" s="10" t="s">
        <v>370</v>
      </c>
      <c r="G19" s="10">
        <f t="shared" si="0"/>
        <v>10</v>
      </c>
      <c r="H19" s="5"/>
      <c r="I19" s="5"/>
    </row>
    <row r="20" spans="1:9" ht="51" x14ac:dyDescent="0.25">
      <c r="A20" s="10" t="s">
        <v>35</v>
      </c>
      <c r="B20" s="10" t="s">
        <v>46</v>
      </c>
      <c r="C20" s="10" t="s">
        <v>47</v>
      </c>
      <c r="D20" s="10">
        <v>2</v>
      </c>
      <c r="E20" s="10">
        <v>5</v>
      </c>
      <c r="F20" s="10" t="s">
        <v>368</v>
      </c>
      <c r="G20" s="10">
        <f t="shared" si="0"/>
        <v>10</v>
      </c>
      <c r="H20" s="5"/>
      <c r="I20" s="5"/>
    </row>
    <row r="21" spans="1:9" ht="51" x14ac:dyDescent="0.25">
      <c r="A21" s="10" t="s">
        <v>35</v>
      </c>
      <c r="B21" s="10" t="s">
        <v>48</v>
      </c>
      <c r="C21" s="10" t="s">
        <v>49</v>
      </c>
      <c r="D21" s="10">
        <v>2</v>
      </c>
      <c r="E21" s="10">
        <v>5</v>
      </c>
      <c r="F21" s="10" t="s">
        <v>369</v>
      </c>
      <c r="G21" s="10">
        <f t="shared" si="0"/>
        <v>10</v>
      </c>
      <c r="H21" s="5"/>
      <c r="I21" s="5"/>
    </row>
    <row r="22" spans="1:9" ht="89.25" x14ac:dyDescent="0.25">
      <c r="A22" s="10" t="s">
        <v>50</v>
      </c>
      <c r="B22" s="10" t="s">
        <v>51</v>
      </c>
      <c r="C22" s="10" t="s">
        <v>52</v>
      </c>
      <c r="D22" s="10">
        <v>2</v>
      </c>
      <c r="E22" s="10">
        <v>1</v>
      </c>
      <c r="F22" s="10" t="s">
        <v>374</v>
      </c>
      <c r="G22" s="10">
        <f t="shared" si="0"/>
        <v>2</v>
      </c>
      <c r="H22" s="5"/>
      <c r="I22" s="5"/>
    </row>
    <row r="23" spans="1:9" ht="89.25" x14ac:dyDescent="0.25">
      <c r="A23" s="10" t="s">
        <v>50</v>
      </c>
      <c r="B23" s="10" t="s">
        <v>53</v>
      </c>
      <c r="C23" s="10" t="s">
        <v>54</v>
      </c>
      <c r="D23" s="10">
        <v>2</v>
      </c>
      <c r="E23" s="10">
        <v>2</v>
      </c>
      <c r="F23" s="10" t="s">
        <v>512</v>
      </c>
      <c r="G23" s="10">
        <f t="shared" si="0"/>
        <v>4</v>
      </c>
      <c r="H23" s="5"/>
      <c r="I23" s="5"/>
    </row>
    <row r="24" spans="1:9" ht="127.5" x14ac:dyDescent="0.25">
      <c r="A24" s="10" t="s">
        <v>50</v>
      </c>
      <c r="B24" s="10" t="s">
        <v>55</v>
      </c>
      <c r="C24" s="10" t="s">
        <v>56</v>
      </c>
      <c r="D24" s="10">
        <v>2</v>
      </c>
      <c r="E24" s="10">
        <v>3</v>
      </c>
      <c r="F24" s="10" t="s">
        <v>479</v>
      </c>
      <c r="G24" s="10">
        <f t="shared" si="0"/>
        <v>6</v>
      </c>
      <c r="H24" s="5"/>
      <c r="I24" s="5"/>
    </row>
    <row r="25" spans="1:9" ht="38.25" x14ac:dyDescent="0.25">
      <c r="A25" s="10" t="s">
        <v>57</v>
      </c>
      <c r="B25" s="10" t="s">
        <v>58</v>
      </c>
      <c r="C25" s="10" t="s">
        <v>59</v>
      </c>
      <c r="D25" s="10">
        <v>3</v>
      </c>
      <c r="E25" s="13">
        <v>1</v>
      </c>
      <c r="F25" s="13" t="s">
        <v>138</v>
      </c>
      <c r="G25" s="10">
        <f t="shared" si="0"/>
        <v>3</v>
      </c>
      <c r="H25" s="5"/>
      <c r="I25" s="5"/>
    </row>
    <row r="26" spans="1:9" ht="76.5" x14ac:dyDescent="0.25">
      <c r="A26" s="10" t="s">
        <v>57</v>
      </c>
      <c r="B26" s="10" t="s">
        <v>60</v>
      </c>
      <c r="C26" s="10" t="s">
        <v>61</v>
      </c>
      <c r="D26" s="10">
        <v>3</v>
      </c>
      <c r="E26" s="10">
        <v>0</v>
      </c>
      <c r="F26" s="10" t="s">
        <v>375</v>
      </c>
      <c r="G26" s="10">
        <f t="shared" si="0"/>
        <v>0</v>
      </c>
      <c r="H26" s="5"/>
      <c r="I26" s="5"/>
    </row>
    <row r="27" spans="1:9" ht="63.75" x14ac:dyDescent="0.25">
      <c r="A27" s="10" t="s">
        <v>57</v>
      </c>
      <c r="B27" s="10" t="s">
        <v>62</v>
      </c>
      <c r="C27" s="10" t="s">
        <v>63</v>
      </c>
      <c r="D27" s="10">
        <v>3</v>
      </c>
      <c r="E27" s="10">
        <v>0</v>
      </c>
      <c r="F27" s="10" t="s">
        <v>376</v>
      </c>
      <c r="G27" s="10">
        <f t="shared" si="0"/>
        <v>0</v>
      </c>
      <c r="H27" s="5"/>
      <c r="I27" s="5"/>
    </row>
    <row r="28" spans="1:9" ht="63.75" x14ac:dyDescent="0.25">
      <c r="A28" s="10" t="s">
        <v>57</v>
      </c>
      <c r="B28" s="10" t="s">
        <v>64</v>
      </c>
      <c r="C28" s="10" t="s">
        <v>65</v>
      </c>
      <c r="D28" s="10">
        <v>3</v>
      </c>
      <c r="E28" s="10">
        <v>0</v>
      </c>
      <c r="F28" s="10" t="s">
        <v>359</v>
      </c>
      <c r="G28" s="10">
        <f t="shared" si="0"/>
        <v>0</v>
      </c>
      <c r="H28" s="5"/>
      <c r="I28" s="5"/>
    </row>
    <row r="29" spans="1:9" ht="63.75" x14ac:dyDescent="0.25">
      <c r="A29" s="10" t="s">
        <v>57</v>
      </c>
      <c r="B29" s="10" t="s">
        <v>66</v>
      </c>
      <c r="C29" s="10" t="s">
        <v>68</v>
      </c>
      <c r="D29" s="10">
        <v>3</v>
      </c>
      <c r="E29" s="10">
        <v>0</v>
      </c>
      <c r="F29" s="10" t="s">
        <v>377</v>
      </c>
      <c r="G29" s="10">
        <f t="shared" si="0"/>
        <v>0</v>
      </c>
      <c r="H29" s="5"/>
      <c r="I29" s="5"/>
    </row>
    <row r="30" spans="1:9" x14ac:dyDescent="0.25">
      <c r="A30" s="35" t="s">
        <v>67</v>
      </c>
      <c r="B30" s="35"/>
      <c r="C30" s="35"/>
      <c r="D30" s="35"/>
      <c r="E30" s="35"/>
      <c r="F30" s="35"/>
      <c r="G30" s="10">
        <f>SUM(G2:G29)</f>
        <v>130</v>
      </c>
    </row>
    <row r="31" spans="1:9" ht="30" customHeight="1" x14ac:dyDescent="0.25">
      <c r="A31" s="35" t="s">
        <v>69</v>
      </c>
      <c r="B31" s="35"/>
      <c r="C31" s="35"/>
      <c r="D31" s="35"/>
      <c r="E31" s="35"/>
      <c r="F31" s="35"/>
      <c r="G31" s="10">
        <f>IF(G30&lt;54,1,IF(G30&lt;108,2,IF(G30&lt;162,3,IF(G30&lt;216,4,5))))</f>
        <v>3</v>
      </c>
    </row>
    <row r="32" spans="1:9" x14ac:dyDescent="0.25">
      <c r="A32" s="34" t="s">
        <v>72</v>
      </c>
      <c r="B32" s="34"/>
      <c r="C32" s="34"/>
      <c r="D32" s="42" t="s">
        <v>379</v>
      </c>
      <c r="E32" s="35"/>
      <c r="F32" s="35"/>
      <c r="G32" s="35"/>
    </row>
    <row r="33" spans="1:7" x14ac:dyDescent="0.25">
      <c r="A33" s="34" t="s">
        <v>73</v>
      </c>
      <c r="B33" s="34"/>
      <c r="C33" s="34"/>
      <c r="D33" s="42" t="s">
        <v>378</v>
      </c>
      <c r="E33" s="35"/>
      <c r="F33" s="35"/>
      <c r="G33" s="35"/>
    </row>
    <row r="34" spans="1:7" x14ac:dyDescent="0.25">
      <c r="A34" s="34" t="s">
        <v>91</v>
      </c>
      <c r="B34" s="34"/>
      <c r="C34" s="34"/>
      <c r="D34" s="42" t="s">
        <v>380</v>
      </c>
      <c r="E34" s="35"/>
      <c r="F34" s="35"/>
      <c r="G34" s="35"/>
    </row>
  </sheetData>
  <mergeCells count="8">
    <mergeCell ref="A30:F30"/>
    <mergeCell ref="A31:F31"/>
    <mergeCell ref="A32:C32"/>
    <mergeCell ref="A33:C33"/>
    <mergeCell ref="A34:C34"/>
    <mergeCell ref="D32:G32"/>
    <mergeCell ref="D33:G33"/>
    <mergeCell ref="D34:G34"/>
  </mergeCells>
  <hyperlinks>
    <hyperlink ref="D33" r:id="rId1" xr:uid="{87FF4AE5-B5A6-4AFA-B05A-0A795EA9EECA}"/>
    <hyperlink ref="D32" r:id="rId2" xr:uid="{E09374CE-9B4E-4AE7-B4BB-980FF3EABDD2}"/>
    <hyperlink ref="D34" r:id="rId3" xr:uid="{82DB945F-B2FE-435D-BB26-187361C5DB1B}"/>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5"/>
  <sheetViews>
    <sheetView topLeftCell="A16" zoomScale="130" zoomScaleNormal="130" workbookViewId="0">
      <selection activeCell="E2" sqref="E2:E11"/>
    </sheetView>
  </sheetViews>
  <sheetFormatPr defaultColWidth="15" defaultRowHeight="15" x14ac:dyDescent="0.25"/>
  <cols>
    <col min="1" max="1" width="12.7109375" style="2" bestFit="1" customWidth="1"/>
    <col min="2" max="2" width="4" style="2" bestFit="1" customWidth="1"/>
    <col min="3" max="3" width="27.28515625" style="2" customWidth="1"/>
    <col min="4" max="4" width="4.7109375" style="2" bestFit="1" customWidth="1"/>
    <col min="5" max="5" width="5" style="2" bestFit="1" customWidth="1"/>
    <col min="6" max="6" width="120" style="2" bestFit="1" customWidth="1"/>
    <col min="7" max="7" width="5" style="2" bestFit="1" customWidth="1"/>
    <col min="8" max="16384" width="15" style="2"/>
  </cols>
  <sheetData>
    <row r="1" spans="1:7" ht="25.5" x14ac:dyDescent="0.25">
      <c r="A1" s="8" t="s">
        <v>0</v>
      </c>
      <c r="B1" s="8" t="s">
        <v>1</v>
      </c>
      <c r="C1" s="8" t="s">
        <v>2</v>
      </c>
      <c r="D1" s="8" t="s">
        <v>3</v>
      </c>
      <c r="E1" s="8" t="s">
        <v>4</v>
      </c>
      <c r="F1" s="8" t="s">
        <v>5</v>
      </c>
      <c r="G1" s="8" t="s">
        <v>6</v>
      </c>
    </row>
    <row r="2" spans="1:7" ht="89.25" x14ac:dyDescent="0.25">
      <c r="A2" s="10" t="s">
        <v>7</v>
      </c>
      <c r="B2" s="10" t="s">
        <v>8</v>
      </c>
      <c r="C2" s="10" t="s">
        <v>9</v>
      </c>
      <c r="D2" s="10">
        <v>1</v>
      </c>
      <c r="E2" s="10">
        <v>0</v>
      </c>
      <c r="F2" s="10" t="s">
        <v>355</v>
      </c>
      <c r="G2" s="10">
        <f>E2*D2</f>
        <v>0</v>
      </c>
    </row>
    <row r="3" spans="1:7" ht="89.25" x14ac:dyDescent="0.25">
      <c r="A3" s="10" t="s">
        <v>7</v>
      </c>
      <c r="B3" s="10" t="s">
        <v>10</v>
      </c>
      <c r="C3" s="10" t="s">
        <v>11</v>
      </c>
      <c r="D3" s="10">
        <v>1</v>
      </c>
      <c r="E3" s="10">
        <v>0</v>
      </c>
      <c r="F3" s="10" t="s">
        <v>384</v>
      </c>
      <c r="G3" s="10">
        <f t="shared" ref="G3:G29" si="0">E3*D3</f>
        <v>0</v>
      </c>
    </row>
    <row r="4" spans="1:7" ht="51" x14ac:dyDescent="0.25">
      <c r="A4" s="10" t="s">
        <v>7</v>
      </c>
      <c r="B4" s="10" t="s">
        <v>12</v>
      </c>
      <c r="C4" s="10" t="s">
        <v>13</v>
      </c>
      <c r="D4" s="10">
        <v>1</v>
      </c>
      <c r="E4" s="10">
        <v>0</v>
      </c>
      <c r="F4" s="10" t="s">
        <v>389</v>
      </c>
      <c r="G4" s="10">
        <f t="shared" si="0"/>
        <v>0</v>
      </c>
    </row>
    <row r="5" spans="1:7" ht="63.75" x14ac:dyDescent="0.25">
      <c r="A5" s="10" t="s">
        <v>7</v>
      </c>
      <c r="B5" s="10" t="s">
        <v>14</v>
      </c>
      <c r="C5" s="10" t="s">
        <v>15</v>
      </c>
      <c r="D5" s="10">
        <v>1</v>
      </c>
      <c r="E5" s="10">
        <v>5</v>
      </c>
      <c r="F5" s="10" t="s">
        <v>385</v>
      </c>
      <c r="G5" s="10">
        <f t="shared" si="0"/>
        <v>5</v>
      </c>
    </row>
    <row r="6" spans="1:7" ht="63.75" x14ac:dyDescent="0.25">
      <c r="A6" s="10" t="s">
        <v>7</v>
      </c>
      <c r="B6" s="10" t="s">
        <v>16</v>
      </c>
      <c r="C6" s="10" t="s">
        <v>17</v>
      </c>
      <c r="D6" s="10">
        <v>1</v>
      </c>
      <c r="E6" s="10">
        <v>5</v>
      </c>
      <c r="F6" s="10" t="s">
        <v>386</v>
      </c>
      <c r="G6" s="10">
        <f t="shared" si="0"/>
        <v>5</v>
      </c>
    </row>
    <row r="7" spans="1:7" ht="51" x14ac:dyDescent="0.25">
      <c r="A7" s="10" t="s">
        <v>7</v>
      </c>
      <c r="B7" s="10" t="s">
        <v>18</v>
      </c>
      <c r="C7" s="10" t="s">
        <v>19</v>
      </c>
      <c r="D7" s="10">
        <v>1</v>
      </c>
      <c r="E7" s="10">
        <v>5</v>
      </c>
      <c r="F7" s="10" t="s">
        <v>387</v>
      </c>
      <c r="G7" s="10">
        <f t="shared" si="0"/>
        <v>5</v>
      </c>
    </row>
    <row r="8" spans="1:7" ht="51" x14ac:dyDescent="0.25">
      <c r="A8" s="10" t="s">
        <v>7</v>
      </c>
      <c r="B8" s="10" t="s">
        <v>20</v>
      </c>
      <c r="C8" s="10" t="s">
        <v>21</v>
      </c>
      <c r="D8" s="10">
        <v>1</v>
      </c>
      <c r="E8" s="10">
        <v>5</v>
      </c>
      <c r="F8" s="10" t="s">
        <v>388</v>
      </c>
      <c r="G8" s="10">
        <f t="shared" si="0"/>
        <v>5</v>
      </c>
    </row>
    <row r="9" spans="1:7" ht="114.75" x14ac:dyDescent="0.25">
      <c r="A9" s="10" t="s">
        <v>7</v>
      </c>
      <c r="B9" s="10" t="s">
        <v>22</v>
      </c>
      <c r="C9" s="10" t="s">
        <v>23</v>
      </c>
      <c r="D9" s="10">
        <v>1</v>
      </c>
      <c r="E9" s="12">
        <v>2</v>
      </c>
      <c r="F9" s="10" t="s">
        <v>483</v>
      </c>
      <c r="G9" s="10">
        <f t="shared" si="0"/>
        <v>2</v>
      </c>
    </row>
    <row r="10" spans="1:7" ht="140.25" x14ac:dyDescent="0.25">
      <c r="A10" s="10" t="s">
        <v>7</v>
      </c>
      <c r="B10" s="10" t="s">
        <v>24</v>
      </c>
      <c r="C10" s="10" t="s">
        <v>25</v>
      </c>
      <c r="D10" s="10">
        <v>1</v>
      </c>
      <c r="E10" s="12">
        <v>2</v>
      </c>
      <c r="F10" s="10" t="s">
        <v>390</v>
      </c>
      <c r="G10" s="10">
        <f t="shared" si="0"/>
        <v>2</v>
      </c>
    </row>
    <row r="11" spans="1:7" ht="51" x14ac:dyDescent="0.25">
      <c r="A11" s="10" t="s">
        <v>7</v>
      </c>
      <c r="B11" s="10" t="s">
        <v>26</v>
      </c>
      <c r="C11" s="10" t="s">
        <v>27</v>
      </c>
      <c r="D11" s="10">
        <v>1</v>
      </c>
      <c r="E11" s="12">
        <v>0</v>
      </c>
      <c r="F11" s="10" t="s">
        <v>473</v>
      </c>
      <c r="G11" s="10">
        <f t="shared" si="0"/>
        <v>0</v>
      </c>
    </row>
    <row r="12" spans="1:7" ht="63.75" x14ac:dyDescent="0.25">
      <c r="A12" s="10" t="s">
        <v>28</v>
      </c>
      <c r="B12" s="10" t="s">
        <v>29</v>
      </c>
      <c r="C12" s="10" t="s">
        <v>30</v>
      </c>
      <c r="D12" s="10">
        <v>3</v>
      </c>
      <c r="E12" s="12">
        <v>5</v>
      </c>
      <c r="F12" s="10" t="s">
        <v>177</v>
      </c>
      <c r="G12" s="10">
        <f t="shared" si="0"/>
        <v>15</v>
      </c>
    </row>
    <row r="13" spans="1:7" ht="76.5" x14ac:dyDescent="0.25">
      <c r="A13" s="10" t="s">
        <v>28</v>
      </c>
      <c r="B13" s="10" t="s">
        <v>31</v>
      </c>
      <c r="C13" s="10" t="s">
        <v>32</v>
      </c>
      <c r="D13" s="10">
        <v>3</v>
      </c>
      <c r="E13" s="10">
        <v>4</v>
      </c>
      <c r="F13" s="10" t="s">
        <v>127</v>
      </c>
      <c r="G13" s="10">
        <f t="shared" si="0"/>
        <v>12</v>
      </c>
    </row>
    <row r="14" spans="1:7" ht="38.25" x14ac:dyDescent="0.25">
      <c r="A14" s="10" t="s">
        <v>28</v>
      </c>
      <c r="B14" s="10" t="s">
        <v>33</v>
      </c>
      <c r="C14" s="10" t="s">
        <v>34</v>
      </c>
      <c r="D14" s="10">
        <v>3</v>
      </c>
      <c r="E14" s="10">
        <v>2</v>
      </c>
      <c r="F14" s="10" t="s">
        <v>113</v>
      </c>
      <c r="G14" s="10">
        <f t="shared" si="0"/>
        <v>6</v>
      </c>
    </row>
    <row r="15" spans="1:7" ht="89.25" x14ac:dyDescent="0.25">
      <c r="A15" s="10" t="s">
        <v>35</v>
      </c>
      <c r="B15" s="10" t="s">
        <v>36</v>
      </c>
      <c r="C15" s="10" t="s">
        <v>37</v>
      </c>
      <c r="D15" s="10">
        <v>2</v>
      </c>
      <c r="E15" s="10">
        <v>3</v>
      </c>
      <c r="F15" s="10" t="s">
        <v>555</v>
      </c>
      <c r="G15" s="10">
        <f t="shared" si="0"/>
        <v>6</v>
      </c>
    </row>
    <row r="16" spans="1:7" ht="51" x14ac:dyDescent="0.25">
      <c r="A16" s="10" t="s">
        <v>35</v>
      </c>
      <c r="B16" s="10" t="s">
        <v>38</v>
      </c>
      <c r="C16" s="10" t="s">
        <v>39</v>
      </c>
      <c r="D16" s="10">
        <v>2</v>
      </c>
      <c r="E16" s="10">
        <v>5</v>
      </c>
      <c r="F16" s="10" t="s">
        <v>533</v>
      </c>
      <c r="G16" s="10">
        <f t="shared" si="0"/>
        <v>10</v>
      </c>
    </row>
    <row r="17" spans="1:7" ht="63.75" x14ac:dyDescent="0.25">
      <c r="A17" s="10" t="s">
        <v>35</v>
      </c>
      <c r="B17" s="10" t="s">
        <v>40</v>
      </c>
      <c r="C17" s="10" t="s">
        <v>41</v>
      </c>
      <c r="D17" s="10">
        <v>2</v>
      </c>
      <c r="E17" s="10">
        <v>2</v>
      </c>
      <c r="F17" s="10" t="s">
        <v>391</v>
      </c>
      <c r="G17" s="10">
        <f t="shared" si="0"/>
        <v>4</v>
      </c>
    </row>
    <row r="18" spans="1:7" ht="102" x14ac:dyDescent="0.25">
      <c r="A18" s="10" t="s">
        <v>35</v>
      </c>
      <c r="B18" s="10" t="s">
        <v>42</v>
      </c>
      <c r="C18" s="10" t="s">
        <v>43</v>
      </c>
      <c r="D18" s="10">
        <v>2</v>
      </c>
      <c r="E18" s="10">
        <v>4</v>
      </c>
      <c r="F18" s="10" t="s">
        <v>130</v>
      </c>
      <c r="G18" s="10">
        <f t="shared" si="0"/>
        <v>8</v>
      </c>
    </row>
    <row r="19" spans="1:7" ht="76.5" x14ac:dyDescent="0.25">
      <c r="A19" s="10" t="s">
        <v>35</v>
      </c>
      <c r="B19" s="10" t="s">
        <v>44</v>
      </c>
      <c r="C19" s="10" t="s">
        <v>45</v>
      </c>
      <c r="D19" s="10">
        <v>2</v>
      </c>
      <c r="E19" s="10">
        <v>4</v>
      </c>
      <c r="F19" s="10" t="s">
        <v>513</v>
      </c>
      <c r="G19" s="10">
        <f t="shared" si="0"/>
        <v>8</v>
      </c>
    </row>
    <row r="20" spans="1:7" ht="63.75" x14ac:dyDescent="0.25">
      <c r="A20" s="10" t="s">
        <v>35</v>
      </c>
      <c r="B20" s="10" t="s">
        <v>46</v>
      </c>
      <c r="C20" s="10" t="s">
        <v>47</v>
      </c>
      <c r="D20" s="10">
        <v>2</v>
      </c>
      <c r="E20" s="10">
        <v>5</v>
      </c>
      <c r="F20" s="10" t="s">
        <v>392</v>
      </c>
      <c r="G20" s="10">
        <f t="shared" si="0"/>
        <v>10</v>
      </c>
    </row>
    <row r="21" spans="1:7" ht="51" x14ac:dyDescent="0.25">
      <c r="A21" s="10" t="s">
        <v>35</v>
      </c>
      <c r="B21" s="10" t="s">
        <v>48</v>
      </c>
      <c r="C21" s="10" t="s">
        <v>49</v>
      </c>
      <c r="D21" s="10">
        <v>2</v>
      </c>
      <c r="E21" s="10">
        <v>5</v>
      </c>
      <c r="F21" s="10" t="s">
        <v>393</v>
      </c>
      <c r="G21" s="10">
        <f t="shared" si="0"/>
        <v>10</v>
      </c>
    </row>
    <row r="22" spans="1:7" ht="76.5" x14ac:dyDescent="0.25">
      <c r="A22" s="10" t="s">
        <v>50</v>
      </c>
      <c r="B22" s="10" t="s">
        <v>51</v>
      </c>
      <c r="C22" s="10" t="s">
        <v>52</v>
      </c>
      <c r="D22" s="10">
        <v>2</v>
      </c>
      <c r="E22" s="10">
        <v>1</v>
      </c>
      <c r="F22" s="10" t="s">
        <v>394</v>
      </c>
      <c r="G22" s="10">
        <f t="shared" si="0"/>
        <v>2</v>
      </c>
    </row>
    <row r="23" spans="1:7" ht="51" x14ac:dyDescent="0.25">
      <c r="A23" s="10" t="s">
        <v>50</v>
      </c>
      <c r="B23" s="10" t="s">
        <v>53</v>
      </c>
      <c r="C23" s="10" t="s">
        <v>54</v>
      </c>
      <c r="D23" s="10">
        <v>2</v>
      </c>
      <c r="E23" s="10">
        <v>2</v>
      </c>
      <c r="F23" s="10" t="s">
        <v>395</v>
      </c>
      <c r="G23" s="10">
        <f t="shared" si="0"/>
        <v>4</v>
      </c>
    </row>
    <row r="24" spans="1:7" ht="114.75"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76.5" x14ac:dyDescent="0.25">
      <c r="A26" s="10" t="s">
        <v>57</v>
      </c>
      <c r="B26" s="10" t="s">
        <v>60</v>
      </c>
      <c r="C26" s="10" t="s">
        <v>61</v>
      </c>
      <c r="D26" s="10">
        <v>3</v>
      </c>
      <c r="E26" s="10">
        <v>0</v>
      </c>
      <c r="F26" s="10" t="s">
        <v>514</v>
      </c>
      <c r="G26" s="10">
        <f t="shared" si="0"/>
        <v>0</v>
      </c>
    </row>
    <row r="27" spans="1:7" ht="89.25" x14ac:dyDescent="0.25">
      <c r="A27" s="10" t="s">
        <v>57</v>
      </c>
      <c r="B27" s="10" t="s">
        <v>62</v>
      </c>
      <c r="C27" s="10" t="s">
        <v>63</v>
      </c>
      <c r="D27" s="10">
        <v>3</v>
      </c>
      <c r="E27" s="10">
        <v>0</v>
      </c>
      <c r="F27" s="10" t="s">
        <v>515</v>
      </c>
      <c r="G27" s="10">
        <f t="shared" si="0"/>
        <v>0</v>
      </c>
    </row>
    <row r="28" spans="1:7" ht="89.25" x14ac:dyDescent="0.25">
      <c r="A28" s="10" t="s">
        <v>57</v>
      </c>
      <c r="B28" s="10" t="s">
        <v>64</v>
      </c>
      <c r="C28" s="10" t="s">
        <v>65</v>
      </c>
      <c r="D28" s="10">
        <v>3</v>
      </c>
      <c r="E28" s="10">
        <v>0</v>
      </c>
      <c r="F28" s="10" t="s">
        <v>396</v>
      </c>
      <c r="G28" s="10">
        <f t="shared" si="0"/>
        <v>0</v>
      </c>
    </row>
    <row r="29" spans="1:7" ht="102" x14ac:dyDescent="0.25">
      <c r="A29" s="10" t="s">
        <v>57</v>
      </c>
      <c r="B29" s="10" t="s">
        <v>66</v>
      </c>
      <c r="C29" s="10" t="s">
        <v>68</v>
      </c>
      <c r="D29" s="10">
        <v>3</v>
      </c>
      <c r="E29" s="10">
        <v>0</v>
      </c>
      <c r="F29" s="10" t="s">
        <v>397</v>
      </c>
      <c r="G29" s="10">
        <f t="shared" si="0"/>
        <v>0</v>
      </c>
    </row>
    <row r="30" spans="1:7" x14ac:dyDescent="0.25">
      <c r="A30" s="35" t="s">
        <v>67</v>
      </c>
      <c r="B30" s="35"/>
      <c r="C30" s="35"/>
      <c r="D30" s="35"/>
      <c r="E30" s="35"/>
      <c r="F30" s="35"/>
      <c r="G30" s="10">
        <f>SUM(G2:G29)</f>
        <v>128</v>
      </c>
    </row>
    <row r="31" spans="1:7" x14ac:dyDescent="0.25">
      <c r="A31" s="35" t="s">
        <v>69</v>
      </c>
      <c r="B31" s="35"/>
      <c r="C31" s="35"/>
      <c r="D31" s="35"/>
      <c r="E31" s="35"/>
      <c r="F31" s="35"/>
      <c r="G31" s="10">
        <f>IF(G30&lt;54,1,IF(G30&lt;108,2,IF(G30&lt;162,3,IF(G30&lt;216,4,5))))</f>
        <v>3</v>
      </c>
    </row>
    <row r="32" spans="1:7" x14ac:dyDescent="0.25">
      <c r="A32" s="34" t="s">
        <v>72</v>
      </c>
      <c r="B32" s="34"/>
      <c r="C32" s="34"/>
      <c r="D32" s="42" t="s">
        <v>383</v>
      </c>
      <c r="E32" s="35"/>
      <c r="F32" s="35"/>
      <c r="G32" s="35"/>
    </row>
    <row r="33" spans="1:7" x14ac:dyDescent="0.25">
      <c r="A33" s="34" t="s">
        <v>73</v>
      </c>
      <c r="B33" s="34"/>
      <c r="C33" s="34"/>
      <c r="D33" s="42" t="s">
        <v>381</v>
      </c>
      <c r="E33" s="35"/>
      <c r="F33" s="35"/>
      <c r="G33" s="35"/>
    </row>
    <row r="34" spans="1:7" x14ac:dyDescent="0.25">
      <c r="A34" s="34" t="s">
        <v>91</v>
      </c>
      <c r="B34" s="34"/>
      <c r="C34" s="34"/>
      <c r="D34" s="42" t="s">
        <v>382</v>
      </c>
      <c r="E34" s="35"/>
      <c r="F34" s="35"/>
      <c r="G34" s="35"/>
    </row>
    <row r="35" spans="1:7" x14ac:dyDescent="0.25">
      <c r="A35" s="15"/>
      <c r="B35" s="15"/>
      <c r="C35" s="15"/>
      <c r="D35" s="15"/>
      <c r="E35" s="15"/>
      <c r="F35" s="15"/>
      <c r="G35" s="15"/>
    </row>
  </sheetData>
  <mergeCells count="8">
    <mergeCell ref="A30:F30"/>
    <mergeCell ref="A31:F31"/>
    <mergeCell ref="A32:C32"/>
    <mergeCell ref="A33:C33"/>
    <mergeCell ref="A34:C34"/>
    <mergeCell ref="D32:G32"/>
    <mergeCell ref="D33:G33"/>
    <mergeCell ref="D34:G34"/>
  </mergeCells>
  <hyperlinks>
    <hyperlink ref="D33" r:id="rId1" xr:uid="{9613620B-1D7C-49E8-8C65-69107A3B6725}"/>
    <hyperlink ref="D32" r:id="rId2" xr:uid="{2B1C5125-E574-4A75-9613-3DF5B507FCF2}"/>
    <hyperlink ref="D34" r:id="rId3" xr:uid="{DC512428-D482-4067-A757-9F19B8519B5B}"/>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G34"/>
  <sheetViews>
    <sheetView topLeftCell="A18" zoomScale="130" zoomScaleNormal="130" workbookViewId="0">
      <selection activeCell="F23" sqref="F23"/>
    </sheetView>
  </sheetViews>
  <sheetFormatPr defaultColWidth="18.28515625" defaultRowHeight="15" x14ac:dyDescent="0.25"/>
  <cols>
    <col min="1" max="1" width="12.7109375" style="2" bestFit="1" customWidth="1"/>
    <col min="2" max="2" width="4" style="2" bestFit="1" customWidth="1"/>
    <col min="3" max="3" width="19.42578125" style="2" customWidth="1"/>
    <col min="4" max="4" width="4.7109375" style="2" bestFit="1" customWidth="1"/>
    <col min="5" max="5" width="5.5703125" style="2" customWidth="1"/>
    <col min="6" max="6" width="112.7109375" style="2" customWidth="1"/>
    <col min="7" max="7" width="5" style="2" bestFit="1" customWidth="1"/>
    <col min="8" max="16384" width="18.28515625" style="2"/>
  </cols>
  <sheetData>
    <row r="1" spans="1:7" ht="25.5" x14ac:dyDescent="0.25">
      <c r="A1" s="8" t="s">
        <v>0</v>
      </c>
      <c r="B1" s="8" t="s">
        <v>1</v>
      </c>
      <c r="C1" s="8" t="s">
        <v>2</v>
      </c>
      <c r="D1" s="8" t="s">
        <v>3</v>
      </c>
      <c r="E1" s="8" t="s">
        <v>4</v>
      </c>
      <c r="F1" s="8" t="s">
        <v>5</v>
      </c>
      <c r="G1" s="8" t="s">
        <v>6</v>
      </c>
    </row>
    <row r="2" spans="1:7" ht="114.75" x14ac:dyDescent="0.25">
      <c r="A2" s="10" t="s">
        <v>7</v>
      </c>
      <c r="B2" s="10" t="s">
        <v>8</v>
      </c>
      <c r="C2" s="10" t="s">
        <v>9</v>
      </c>
      <c r="D2" s="10">
        <v>1</v>
      </c>
      <c r="E2" s="10">
        <v>0</v>
      </c>
      <c r="F2" s="10" t="s">
        <v>356</v>
      </c>
      <c r="G2" s="10">
        <f>E2*D2</f>
        <v>0</v>
      </c>
    </row>
    <row r="3" spans="1:7" ht="89.25" x14ac:dyDescent="0.25">
      <c r="A3" s="10" t="s">
        <v>7</v>
      </c>
      <c r="B3" s="10" t="s">
        <v>10</v>
      </c>
      <c r="C3" s="10" t="s">
        <v>11</v>
      </c>
      <c r="D3" s="10">
        <v>1</v>
      </c>
      <c r="E3" s="10">
        <v>0</v>
      </c>
      <c r="F3" s="10" t="s">
        <v>399</v>
      </c>
      <c r="G3" s="10">
        <f t="shared" ref="G3:G29" si="0">E3*D3</f>
        <v>0</v>
      </c>
    </row>
    <row r="4" spans="1:7" ht="102" x14ac:dyDescent="0.25">
      <c r="A4" s="10" t="s">
        <v>7</v>
      </c>
      <c r="B4" s="10" t="s">
        <v>12</v>
      </c>
      <c r="C4" s="10" t="s">
        <v>13</v>
      </c>
      <c r="D4" s="10">
        <v>1</v>
      </c>
      <c r="E4" s="10">
        <v>0</v>
      </c>
      <c r="F4" s="10" t="s">
        <v>516</v>
      </c>
      <c r="G4" s="10">
        <f t="shared" si="0"/>
        <v>0</v>
      </c>
    </row>
    <row r="5" spans="1:7" ht="76.5" x14ac:dyDescent="0.25">
      <c r="A5" s="10" t="s">
        <v>7</v>
      </c>
      <c r="B5" s="10" t="s">
        <v>14</v>
      </c>
      <c r="C5" s="10" t="s">
        <v>15</v>
      </c>
      <c r="D5" s="10">
        <v>1</v>
      </c>
      <c r="E5" s="10">
        <v>5</v>
      </c>
      <c r="F5" s="10" t="s">
        <v>400</v>
      </c>
      <c r="G5" s="10">
        <f t="shared" si="0"/>
        <v>5</v>
      </c>
    </row>
    <row r="6" spans="1:7" ht="76.5" x14ac:dyDescent="0.25">
      <c r="A6" s="10" t="s">
        <v>7</v>
      </c>
      <c r="B6" s="10" t="s">
        <v>16</v>
      </c>
      <c r="C6" s="10" t="s">
        <v>17</v>
      </c>
      <c r="D6" s="10">
        <v>1</v>
      </c>
      <c r="E6" s="10">
        <v>5</v>
      </c>
      <c r="F6" s="10" t="s">
        <v>534</v>
      </c>
      <c r="G6" s="10">
        <f t="shared" si="0"/>
        <v>5</v>
      </c>
    </row>
    <row r="7" spans="1:7" ht="63.75" x14ac:dyDescent="0.25">
      <c r="A7" s="10" t="s">
        <v>7</v>
      </c>
      <c r="B7" s="10" t="s">
        <v>18</v>
      </c>
      <c r="C7" s="10" t="s">
        <v>19</v>
      </c>
      <c r="D7" s="10">
        <v>1</v>
      </c>
      <c r="E7" s="10">
        <v>5</v>
      </c>
      <c r="F7" s="10" t="s">
        <v>401</v>
      </c>
      <c r="G7" s="10">
        <f t="shared" si="0"/>
        <v>5</v>
      </c>
    </row>
    <row r="8" spans="1:7" ht="51" x14ac:dyDescent="0.25">
      <c r="A8" s="10" t="s">
        <v>7</v>
      </c>
      <c r="B8" s="10" t="s">
        <v>20</v>
      </c>
      <c r="C8" s="10" t="s">
        <v>21</v>
      </c>
      <c r="D8" s="10">
        <v>1</v>
      </c>
      <c r="E8" s="10">
        <v>5</v>
      </c>
      <c r="F8" s="10" t="s">
        <v>402</v>
      </c>
      <c r="G8" s="10">
        <f t="shared" si="0"/>
        <v>5</v>
      </c>
    </row>
    <row r="9" spans="1:7" ht="114.75" x14ac:dyDescent="0.25">
      <c r="A9" s="10" t="s">
        <v>7</v>
      </c>
      <c r="B9" s="10" t="s">
        <v>22</v>
      </c>
      <c r="C9" s="10" t="s">
        <v>23</v>
      </c>
      <c r="D9" s="10">
        <v>1</v>
      </c>
      <c r="E9" s="12">
        <v>2</v>
      </c>
      <c r="F9" s="10" t="s">
        <v>483</v>
      </c>
      <c r="G9" s="10">
        <f t="shared" si="0"/>
        <v>2</v>
      </c>
    </row>
    <row r="10" spans="1:7" ht="140.25" x14ac:dyDescent="0.25">
      <c r="A10" s="10" t="s">
        <v>7</v>
      </c>
      <c r="B10" s="10" t="s">
        <v>24</v>
      </c>
      <c r="C10" s="10" t="s">
        <v>25</v>
      </c>
      <c r="D10" s="10">
        <v>1</v>
      </c>
      <c r="E10" s="12">
        <v>2</v>
      </c>
      <c r="F10" s="10" t="s">
        <v>403</v>
      </c>
      <c r="G10" s="10">
        <f t="shared" si="0"/>
        <v>2</v>
      </c>
    </row>
    <row r="11" spans="1:7" ht="51"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178</v>
      </c>
      <c r="G12" s="10">
        <f t="shared" si="0"/>
        <v>15</v>
      </c>
    </row>
    <row r="13" spans="1:7" ht="76.5" x14ac:dyDescent="0.25">
      <c r="A13" s="10" t="s">
        <v>28</v>
      </c>
      <c r="B13" s="10" t="s">
        <v>31</v>
      </c>
      <c r="C13" s="10" t="s">
        <v>32</v>
      </c>
      <c r="D13" s="10">
        <v>3</v>
      </c>
      <c r="E13" s="10">
        <v>4</v>
      </c>
      <c r="F13" s="10" t="s">
        <v>127</v>
      </c>
      <c r="G13" s="10">
        <f t="shared" si="0"/>
        <v>12</v>
      </c>
    </row>
    <row r="14" spans="1:7" ht="51" x14ac:dyDescent="0.25">
      <c r="A14" s="10" t="s">
        <v>28</v>
      </c>
      <c r="B14" s="10" t="s">
        <v>33</v>
      </c>
      <c r="C14" s="10" t="s">
        <v>34</v>
      </c>
      <c r="D14" s="10">
        <v>3</v>
      </c>
      <c r="E14" s="10">
        <v>2</v>
      </c>
      <c r="F14" s="10" t="s">
        <v>113</v>
      </c>
      <c r="G14" s="10">
        <f t="shared" si="0"/>
        <v>6</v>
      </c>
    </row>
    <row r="15" spans="1:7" ht="89.25" x14ac:dyDescent="0.25">
      <c r="A15" s="10" t="s">
        <v>35</v>
      </c>
      <c r="B15" s="10" t="s">
        <v>36</v>
      </c>
      <c r="C15" s="10" t="s">
        <v>37</v>
      </c>
      <c r="D15" s="10">
        <v>2</v>
      </c>
      <c r="E15" s="10">
        <v>3</v>
      </c>
      <c r="F15" s="10" t="s">
        <v>556</v>
      </c>
      <c r="G15" s="10">
        <f t="shared" si="0"/>
        <v>6</v>
      </c>
    </row>
    <row r="16" spans="1:7" ht="63.75" x14ac:dyDescent="0.25">
      <c r="A16" s="10" t="s">
        <v>35</v>
      </c>
      <c r="B16" s="10" t="s">
        <v>38</v>
      </c>
      <c r="C16" s="10" t="s">
        <v>39</v>
      </c>
      <c r="D16" s="10">
        <v>2</v>
      </c>
      <c r="E16" s="10">
        <v>5</v>
      </c>
      <c r="F16" s="10" t="s">
        <v>405</v>
      </c>
      <c r="G16" s="10">
        <f t="shared" si="0"/>
        <v>10</v>
      </c>
    </row>
    <row r="17" spans="1:7" ht="63.75" x14ac:dyDescent="0.25">
      <c r="A17" s="10" t="s">
        <v>35</v>
      </c>
      <c r="B17" s="10" t="s">
        <v>40</v>
      </c>
      <c r="C17" s="10" t="s">
        <v>41</v>
      </c>
      <c r="D17" s="10">
        <v>2</v>
      </c>
      <c r="E17" s="10">
        <v>2</v>
      </c>
      <c r="F17" s="10" t="s">
        <v>404</v>
      </c>
      <c r="G17" s="10">
        <f t="shared" si="0"/>
        <v>4</v>
      </c>
    </row>
    <row r="18" spans="1:7" ht="102" x14ac:dyDescent="0.25">
      <c r="A18" s="10" t="s">
        <v>35</v>
      </c>
      <c r="B18" s="10" t="s">
        <v>42</v>
      </c>
      <c r="C18" s="10" t="s">
        <v>43</v>
      </c>
      <c r="D18" s="10">
        <v>2</v>
      </c>
      <c r="E18" s="10">
        <v>4</v>
      </c>
      <c r="F18" s="10" t="s">
        <v>130</v>
      </c>
      <c r="G18" s="10">
        <f t="shared" si="0"/>
        <v>8</v>
      </c>
    </row>
    <row r="19" spans="1:7" ht="89.25" x14ac:dyDescent="0.25">
      <c r="A19" s="10" t="s">
        <v>35</v>
      </c>
      <c r="B19" s="10" t="s">
        <v>44</v>
      </c>
      <c r="C19" s="10" t="s">
        <v>45</v>
      </c>
      <c r="D19" s="10">
        <v>2</v>
      </c>
      <c r="E19" s="10">
        <v>4</v>
      </c>
      <c r="F19" s="10" t="s">
        <v>411</v>
      </c>
      <c r="G19" s="10">
        <f t="shared" si="0"/>
        <v>8</v>
      </c>
    </row>
    <row r="20" spans="1:7" ht="102" x14ac:dyDescent="0.25">
      <c r="A20" s="10" t="s">
        <v>35</v>
      </c>
      <c r="B20" s="10" t="s">
        <v>46</v>
      </c>
      <c r="C20" s="10" t="s">
        <v>47</v>
      </c>
      <c r="D20" s="10">
        <v>2</v>
      </c>
      <c r="E20" s="10">
        <v>5</v>
      </c>
      <c r="F20" s="10" t="s">
        <v>406</v>
      </c>
      <c r="G20" s="10">
        <f t="shared" si="0"/>
        <v>10</v>
      </c>
    </row>
    <row r="21" spans="1:7" ht="51" x14ac:dyDescent="0.25">
      <c r="A21" s="10" t="s">
        <v>35</v>
      </c>
      <c r="B21" s="10" t="s">
        <v>48</v>
      </c>
      <c r="C21" s="10" t="s">
        <v>49</v>
      </c>
      <c r="D21" s="10">
        <v>2</v>
      </c>
      <c r="E21" s="10">
        <v>5</v>
      </c>
      <c r="F21" s="10" t="s">
        <v>407</v>
      </c>
      <c r="G21" s="10">
        <f t="shared" si="0"/>
        <v>10</v>
      </c>
    </row>
    <row r="22" spans="1:7" ht="76.5" x14ac:dyDescent="0.25">
      <c r="A22" s="10" t="s">
        <v>50</v>
      </c>
      <c r="B22" s="10" t="s">
        <v>51</v>
      </c>
      <c r="C22" s="10" t="s">
        <v>52</v>
      </c>
      <c r="D22" s="10">
        <v>2</v>
      </c>
      <c r="E22" s="10">
        <v>1</v>
      </c>
      <c r="F22" s="10" t="s">
        <v>408</v>
      </c>
      <c r="G22" s="10">
        <f t="shared" si="0"/>
        <v>2</v>
      </c>
    </row>
    <row r="23" spans="1:7" ht="51" x14ac:dyDescent="0.25">
      <c r="A23" s="10" t="s">
        <v>50</v>
      </c>
      <c r="B23" s="10" t="s">
        <v>53</v>
      </c>
      <c r="C23" s="10" t="s">
        <v>54</v>
      </c>
      <c r="D23" s="10">
        <v>2</v>
      </c>
      <c r="E23" s="10">
        <v>2</v>
      </c>
      <c r="F23" s="10" t="s">
        <v>576</v>
      </c>
      <c r="G23" s="10">
        <f t="shared" si="0"/>
        <v>4</v>
      </c>
    </row>
    <row r="24" spans="1:7" ht="127.5"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76.5" x14ac:dyDescent="0.25">
      <c r="A26" s="10" t="s">
        <v>57</v>
      </c>
      <c r="B26" s="10" t="s">
        <v>60</v>
      </c>
      <c r="C26" s="10" t="s">
        <v>61</v>
      </c>
      <c r="D26" s="10">
        <v>3</v>
      </c>
      <c r="E26" s="10">
        <v>0</v>
      </c>
      <c r="F26" s="10" t="s">
        <v>409</v>
      </c>
      <c r="G26" s="10">
        <f t="shared" si="0"/>
        <v>0</v>
      </c>
    </row>
    <row r="27" spans="1:7" ht="89.25" x14ac:dyDescent="0.25">
      <c r="A27" s="10" t="s">
        <v>57</v>
      </c>
      <c r="B27" s="10" t="s">
        <v>62</v>
      </c>
      <c r="C27" s="10" t="s">
        <v>63</v>
      </c>
      <c r="D27" s="10">
        <v>3</v>
      </c>
      <c r="E27" s="10">
        <v>0</v>
      </c>
      <c r="F27" s="10" t="s">
        <v>517</v>
      </c>
      <c r="G27" s="10">
        <f t="shared" si="0"/>
        <v>0</v>
      </c>
    </row>
    <row r="28" spans="1:7" ht="89.25" x14ac:dyDescent="0.25">
      <c r="A28" s="10" t="s">
        <v>57</v>
      </c>
      <c r="B28" s="10" t="s">
        <v>64</v>
      </c>
      <c r="C28" s="10" t="s">
        <v>65</v>
      </c>
      <c r="D28" s="10">
        <v>3</v>
      </c>
      <c r="E28" s="10">
        <v>0</v>
      </c>
      <c r="F28" s="10" t="s">
        <v>410</v>
      </c>
      <c r="G28" s="10">
        <f t="shared" si="0"/>
        <v>0</v>
      </c>
    </row>
    <row r="29" spans="1:7" ht="89.25" x14ac:dyDescent="0.25">
      <c r="A29" s="10" t="s">
        <v>57</v>
      </c>
      <c r="B29" s="10" t="s">
        <v>66</v>
      </c>
      <c r="C29" s="10" t="s">
        <v>68</v>
      </c>
      <c r="D29" s="10">
        <v>3</v>
      </c>
      <c r="E29" s="10">
        <v>0</v>
      </c>
      <c r="F29" s="10" t="s">
        <v>398</v>
      </c>
      <c r="G29" s="10">
        <f t="shared" si="0"/>
        <v>0</v>
      </c>
    </row>
    <row r="30" spans="1:7" x14ac:dyDescent="0.25">
      <c r="A30" s="30" t="s">
        <v>67</v>
      </c>
      <c r="B30" s="30"/>
      <c r="C30" s="30"/>
      <c r="D30" s="30"/>
      <c r="E30" s="30"/>
      <c r="F30" s="30"/>
      <c r="G30" s="14">
        <f>SUM(G2:G29)</f>
        <v>128</v>
      </c>
    </row>
    <row r="31" spans="1:7" x14ac:dyDescent="0.25">
      <c r="A31" s="30" t="s">
        <v>69</v>
      </c>
      <c r="B31" s="30"/>
      <c r="C31" s="30"/>
      <c r="D31" s="30"/>
      <c r="E31" s="30"/>
      <c r="F31" s="30"/>
      <c r="G31" s="14">
        <f>IF(G30&lt;54,1,IF(G30&lt;108,2,IF(G30&lt;162,3,IF(G30&lt;216,4,5))))</f>
        <v>3</v>
      </c>
    </row>
    <row r="32" spans="1:7" x14ac:dyDescent="0.25">
      <c r="A32" s="31" t="s">
        <v>72</v>
      </c>
      <c r="B32" s="31"/>
      <c r="C32" s="31"/>
      <c r="D32" s="50" t="s">
        <v>413</v>
      </c>
      <c r="E32" s="32"/>
      <c r="F32" s="32"/>
      <c r="G32" s="32"/>
    </row>
    <row r="33" spans="1:7" x14ac:dyDescent="0.25">
      <c r="A33" s="31" t="s">
        <v>73</v>
      </c>
      <c r="B33" s="31"/>
      <c r="C33" s="31"/>
      <c r="D33" s="50" t="s">
        <v>412</v>
      </c>
      <c r="E33" s="32"/>
      <c r="F33" s="32"/>
      <c r="G33" s="32"/>
    </row>
    <row r="34" spans="1:7" x14ac:dyDescent="0.25">
      <c r="A34" s="31" t="s">
        <v>91</v>
      </c>
      <c r="B34" s="31"/>
      <c r="C34" s="31"/>
      <c r="D34" s="50" t="s">
        <v>413</v>
      </c>
      <c r="E34" s="32"/>
      <c r="F34" s="32"/>
      <c r="G34" s="32"/>
    </row>
  </sheetData>
  <mergeCells count="8">
    <mergeCell ref="A30:F30"/>
    <mergeCell ref="A31:F31"/>
    <mergeCell ref="A32:C32"/>
    <mergeCell ref="A33:C33"/>
    <mergeCell ref="A34:C34"/>
    <mergeCell ref="D32:G32"/>
    <mergeCell ref="D33:G33"/>
    <mergeCell ref="D34:G34"/>
  </mergeCells>
  <hyperlinks>
    <hyperlink ref="D33" r:id="rId1" xr:uid="{DC1200AC-D7DB-4874-B046-073F7090FBAB}"/>
    <hyperlink ref="D32" r:id="rId2" xr:uid="{456A7F25-AF52-4A3C-9DAF-85A6035A4D62}"/>
    <hyperlink ref="D34" r:id="rId3" xr:uid="{0647A3A8-3142-4743-B947-7DEFB6DC74A4}"/>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G34"/>
  <sheetViews>
    <sheetView topLeftCell="A17" zoomScale="130" zoomScaleNormal="130" workbookViewId="0">
      <selection activeCell="F24" sqref="F24"/>
    </sheetView>
  </sheetViews>
  <sheetFormatPr defaultColWidth="23.42578125" defaultRowHeight="15" x14ac:dyDescent="0.25"/>
  <cols>
    <col min="1" max="1" width="12.7109375" style="2" bestFit="1" customWidth="1"/>
    <col min="2" max="2" width="4.85546875" style="2" customWidth="1"/>
    <col min="3" max="3" width="24.85546875" style="2" customWidth="1"/>
    <col min="4" max="4" width="4.7109375" style="2" bestFit="1" customWidth="1"/>
    <col min="5" max="5" width="5.7109375" style="2" customWidth="1"/>
    <col min="6" max="6" width="114.140625" style="2" customWidth="1"/>
    <col min="7" max="7" width="5" style="2" bestFit="1" customWidth="1"/>
    <col min="8" max="16384" width="23.42578125" style="2"/>
  </cols>
  <sheetData>
    <row r="1" spans="1:7" s="5" customFormat="1" ht="25.5" x14ac:dyDescent="0.25">
      <c r="A1" s="8" t="s">
        <v>0</v>
      </c>
      <c r="B1" s="8" t="s">
        <v>1</v>
      </c>
      <c r="C1" s="8" t="s">
        <v>2</v>
      </c>
      <c r="D1" s="8" t="s">
        <v>3</v>
      </c>
      <c r="E1" s="8" t="s">
        <v>4</v>
      </c>
      <c r="F1" s="8" t="s">
        <v>5</v>
      </c>
      <c r="G1" s="8" t="s">
        <v>6</v>
      </c>
    </row>
    <row r="2" spans="1:7" s="5" customFormat="1" ht="102" x14ac:dyDescent="0.25">
      <c r="A2" s="10" t="s">
        <v>7</v>
      </c>
      <c r="B2" s="10" t="s">
        <v>8</v>
      </c>
      <c r="C2" s="10" t="s">
        <v>9</v>
      </c>
      <c r="D2" s="10">
        <v>1</v>
      </c>
      <c r="E2" s="10">
        <v>0</v>
      </c>
      <c r="F2" s="10" t="s">
        <v>360</v>
      </c>
      <c r="G2" s="10">
        <f>E2*D2</f>
        <v>0</v>
      </c>
    </row>
    <row r="3" spans="1:7" s="5" customFormat="1" ht="76.5" x14ac:dyDescent="0.25">
      <c r="A3" s="10" t="s">
        <v>7</v>
      </c>
      <c r="B3" s="10" t="s">
        <v>10</v>
      </c>
      <c r="C3" s="10" t="s">
        <v>11</v>
      </c>
      <c r="D3" s="10">
        <v>1</v>
      </c>
      <c r="E3" s="10">
        <v>0</v>
      </c>
      <c r="F3" s="10" t="s">
        <v>414</v>
      </c>
      <c r="G3" s="10">
        <f t="shared" ref="G3:G29" si="0">E3*D3</f>
        <v>0</v>
      </c>
    </row>
    <row r="4" spans="1:7" s="5" customFormat="1" ht="76.5" x14ac:dyDescent="0.25">
      <c r="A4" s="10" t="s">
        <v>7</v>
      </c>
      <c r="B4" s="10" t="s">
        <v>12</v>
      </c>
      <c r="C4" s="10" t="s">
        <v>13</v>
      </c>
      <c r="D4" s="10">
        <v>1</v>
      </c>
      <c r="E4" s="10">
        <v>0</v>
      </c>
      <c r="F4" s="10" t="s">
        <v>465</v>
      </c>
      <c r="G4" s="10">
        <f t="shared" si="0"/>
        <v>0</v>
      </c>
    </row>
    <row r="5" spans="1:7" s="5" customFormat="1" ht="51" x14ac:dyDescent="0.25">
      <c r="A5" s="10" t="s">
        <v>7</v>
      </c>
      <c r="B5" s="10" t="s">
        <v>14</v>
      </c>
      <c r="C5" s="10" t="s">
        <v>15</v>
      </c>
      <c r="D5" s="10">
        <v>1</v>
      </c>
      <c r="E5" s="10">
        <v>5</v>
      </c>
      <c r="F5" s="10" t="s">
        <v>415</v>
      </c>
      <c r="G5" s="10">
        <f t="shared" si="0"/>
        <v>5</v>
      </c>
    </row>
    <row r="6" spans="1:7" s="5" customFormat="1" ht="76.5" x14ac:dyDescent="0.25">
      <c r="A6" s="10" t="s">
        <v>7</v>
      </c>
      <c r="B6" s="10" t="s">
        <v>16</v>
      </c>
      <c r="C6" s="10" t="s">
        <v>17</v>
      </c>
      <c r="D6" s="10">
        <v>1</v>
      </c>
      <c r="E6" s="10">
        <v>5</v>
      </c>
      <c r="F6" s="10" t="s">
        <v>535</v>
      </c>
      <c r="G6" s="10">
        <f t="shared" si="0"/>
        <v>5</v>
      </c>
    </row>
    <row r="7" spans="1:7" s="5" customFormat="1" ht="76.5" x14ac:dyDescent="0.25">
      <c r="A7" s="10" t="s">
        <v>7</v>
      </c>
      <c r="B7" s="10" t="s">
        <v>18</v>
      </c>
      <c r="C7" s="10" t="s">
        <v>19</v>
      </c>
      <c r="D7" s="10">
        <v>1</v>
      </c>
      <c r="E7" s="10">
        <v>5</v>
      </c>
      <c r="F7" s="10" t="s">
        <v>416</v>
      </c>
      <c r="G7" s="10">
        <f t="shared" si="0"/>
        <v>5</v>
      </c>
    </row>
    <row r="8" spans="1:7" s="5" customFormat="1" ht="38.25" x14ac:dyDescent="0.25">
      <c r="A8" s="10" t="s">
        <v>7</v>
      </c>
      <c r="B8" s="10" t="s">
        <v>20</v>
      </c>
      <c r="C8" s="10" t="s">
        <v>21</v>
      </c>
      <c r="D8" s="10">
        <v>1</v>
      </c>
      <c r="E8" s="10">
        <v>5</v>
      </c>
      <c r="F8" s="10" t="s">
        <v>417</v>
      </c>
      <c r="G8" s="10">
        <f t="shared" si="0"/>
        <v>5</v>
      </c>
    </row>
    <row r="9" spans="1:7" s="5" customFormat="1" ht="114.75" x14ac:dyDescent="0.25">
      <c r="A9" s="10" t="s">
        <v>7</v>
      </c>
      <c r="B9" s="10" t="s">
        <v>22</v>
      </c>
      <c r="C9" s="10" t="s">
        <v>23</v>
      </c>
      <c r="D9" s="10">
        <v>1</v>
      </c>
      <c r="E9" s="12">
        <v>2</v>
      </c>
      <c r="F9" s="10" t="s">
        <v>483</v>
      </c>
      <c r="G9" s="10">
        <f t="shared" si="0"/>
        <v>2</v>
      </c>
    </row>
    <row r="10" spans="1:7" s="5" customFormat="1" ht="140.25" x14ac:dyDescent="0.25">
      <c r="A10" s="10" t="s">
        <v>7</v>
      </c>
      <c r="B10" s="10" t="s">
        <v>24</v>
      </c>
      <c r="C10" s="10" t="s">
        <v>25</v>
      </c>
      <c r="D10" s="10">
        <v>1</v>
      </c>
      <c r="E10" s="12">
        <v>2</v>
      </c>
      <c r="F10" s="10" t="s">
        <v>418</v>
      </c>
      <c r="G10" s="10">
        <f t="shared" si="0"/>
        <v>2</v>
      </c>
    </row>
    <row r="11" spans="1:7" s="5" customFormat="1" ht="51" x14ac:dyDescent="0.25">
      <c r="A11" s="10" t="s">
        <v>7</v>
      </c>
      <c r="B11" s="10" t="s">
        <v>26</v>
      </c>
      <c r="C11" s="10" t="s">
        <v>27</v>
      </c>
      <c r="D11" s="10">
        <v>1</v>
      </c>
      <c r="E11" s="12">
        <v>0</v>
      </c>
      <c r="F11" s="10" t="s">
        <v>473</v>
      </c>
      <c r="G11" s="10">
        <f t="shared" si="0"/>
        <v>0</v>
      </c>
    </row>
    <row r="12" spans="1:7" s="5" customFormat="1" ht="76.5" x14ac:dyDescent="0.25">
      <c r="A12" s="10" t="s">
        <v>28</v>
      </c>
      <c r="B12" s="10" t="s">
        <v>29</v>
      </c>
      <c r="C12" s="10" t="s">
        <v>30</v>
      </c>
      <c r="D12" s="10">
        <v>3</v>
      </c>
      <c r="E12" s="12">
        <v>5</v>
      </c>
      <c r="F12" s="10" t="s">
        <v>179</v>
      </c>
      <c r="G12" s="10">
        <f t="shared" si="0"/>
        <v>15</v>
      </c>
    </row>
    <row r="13" spans="1:7" s="5" customFormat="1" ht="76.5" x14ac:dyDescent="0.25">
      <c r="A13" s="10" t="s">
        <v>28</v>
      </c>
      <c r="B13" s="10" t="s">
        <v>31</v>
      </c>
      <c r="C13" s="10" t="s">
        <v>32</v>
      </c>
      <c r="D13" s="10">
        <v>3</v>
      </c>
      <c r="E13" s="10">
        <v>4</v>
      </c>
      <c r="F13" s="10" t="s">
        <v>127</v>
      </c>
      <c r="G13" s="10">
        <f t="shared" si="0"/>
        <v>12</v>
      </c>
    </row>
    <row r="14" spans="1:7" s="5" customFormat="1" ht="51" x14ac:dyDescent="0.25">
      <c r="A14" s="10" t="s">
        <v>28</v>
      </c>
      <c r="B14" s="10" t="s">
        <v>33</v>
      </c>
      <c r="C14" s="10" t="s">
        <v>34</v>
      </c>
      <c r="D14" s="10">
        <v>3</v>
      </c>
      <c r="E14" s="10">
        <v>2</v>
      </c>
      <c r="F14" s="10" t="s">
        <v>113</v>
      </c>
      <c r="G14" s="10">
        <f t="shared" si="0"/>
        <v>6</v>
      </c>
    </row>
    <row r="15" spans="1:7" s="5" customFormat="1" ht="89.25" x14ac:dyDescent="0.25">
      <c r="A15" s="10" t="s">
        <v>35</v>
      </c>
      <c r="B15" s="10" t="s">
        <v>36</v>
      </c>
      <c r="C15" s="10" t="s">
        <v>37</v>
      </c>
      <c r="D15" s="10">
        <v>2</v>
      </c>
      <c r="E15" s="10">
        <v>3</v>
      </c>
      <c r="F15" s="10" t="s">
        <v>557</v>
      </c>
      <c r="G15" s="10">
        <f t="shared" si="0"/>
        <v>6</v>
      </c>
    </row>
    <row r="16" spans="1:7" s="5" customFormat="1" ht="89.25" x14ac:dyDescent="0.25">
      <c r="A16" s="10" t="s">
        <v>35</v>
      </c>
      <c r="B16" s="10" t="s">
        <v>38</v>
      </c>
      <c r="C16" s="10" t="s">
        <v>39</v>
      </c>
      <c r="D16" s="10">
        <v>2</v>
      </c>
      <c r="E16" s="10">
        <v>5</v>
      </c>
      <c r="F16" s="10" t="s">
        <v>518</v>
      </c>
      <c r="G16" s="10">
        <f t="shared" si="0"/>
        <v>10</v>
      </c>
    </row>
    <row r="17" spans="1:7" s="5" customFormat="1" ht="63.75" x14ac:dyDescent="0.25">
      <c r="A17" s="10" t="s">
        <v>35</v>
      </c>
      <c r="B17" s="10" t="s">
        <v>40</v>
      </c>
      <c r="C17" s="10" t="s">
        <v>41</v>
      </c>
      <c r="D17" s="10">
        <v>2</v>
      </c>
      <c r="E17" s="10">
        <v>2</v>
      </c>
      <c r="F17" s="10" t="s">
        <v>419</v>
      </c>
      <c r="G17" s="10">
        <f t="shared" si="0"/>
        <v>4</v>
      </c>
    </row>
    <row r="18" spans="1:7" s="5" customFormat="1" ht="102" x14ac:dyDescent="0.25">
      <c r="A18" s="10" t="s">
        <v>35</v>
      </c>
      <c r="B18" s="10" t="s">
        <v>42</v>
      </c>
      <c r="C18" s="10" t="s">
        <v>43</v>
      </c>
      <c r="D18" s="10">
        <v>2</v>
      </c>
      <c r="E18" s="10">
        <v>4</v>
      </c>
      <c r="F18" s="10" t="s">
        <v>130</v>
      </c>
      <c r="G18" s="10">
        <f t="shared" si="0"/>
        <v>8</v>
      </c>
    </row>
    <row r="19" spans="1:7" s="5" customFormat="1" ht="76.5" x14ac:dyDescent="0.25">
      <c r="A19" s="10" t="s">
        <v>35</v>
      </c>
      <c r="B19" s="10" t="s">
        <v>44</v>
      </c>
      <c r="C19" s="10" t="s">
        <v>45</v>
      </c>
      <c r="D19" s="10">
        <v>2</v>
      </c>
      <c r="E19" s="10">
        <v>4</v>
      </c>
      <c r="F19" s="10" t="s">
        <v>420</v>
      </c>
      <c r="G19" s="10">
        <f t="shared" si="0"/>
        <v>8</v>
      </c>
    </row>
    <row r="20" spans="1:7" s="5" customFormat="1" ht="51" x14ac:dyDescent="0.25">
      <c r="A20" s="10" t="s">
        <v>35</v>
      </c>
      <c r="B20" s="10" t="s">
        <v>46</v>
      </c>
      <c r="C20" s="10" t="s">
        <v>47</v>
      </c>
      <c r="D20" s="10">
        <v>2</v>
      </c>
      <c r="E20" s="10">
        <v>2</v>
      </c>
      <c r="F20" s="10" t="s">
        <v>421</v>
      </c>
      <c r="G20" s="10">
        <f t="shared" si="0"/>
        <v>4</v>
      </c>
    </row>
    <row r="21" spans="1:7" s="5" customFormat="1" ht="63.75" x14ac:dyDescent="0.25">
      <c r="A21" s="10" t="s">
        <v>35</v>
      </c>
      <c r="B21" s="10" t="s">
        <v>48</v>
      </c>
      <c r="C21" s="10" t="s">
        <v>49</v>
      </c>
      <c r="D21" s="10">
        <v>2</v>
      </c>
      <c r="E21" s="10">
        <v>5</v>
      </c>
      <c r="F21" s="10" t="s">
        <v>134</v>
      </c>
      <c r="G21" s="10">
        <f t="shared" si="0"/>
        <v>10</v>
      </c>
    </row>
    <row r="22" spans="1:7" s="5" customFormat="1" ht="102" x14ac:dyDescent="0.25">
      <c r="A22" s="10" t="s">
        <v>50</v>
      </c>
      <c r="B22" s="10" t="s">
        <v>51</v>
      </c>
      <c r="C22" s="10" t="s">
        <v>52</v>
      </c>
      <c r="D22" s="10">
        <v>2</v>
      </c>
      <c r="E22" s="10">
        <v>1</v>
      </c>
      <c r="F22" s="10" t="s">
        <v>422</v>
      </c>
      <c r="G22" s="10">
        <f t="shared" si="0"/>
        <v>2</v>
      </c>
    </row>
    <row r="23" spans="1:7" s="5" customFormat="1" ht="51" x14ac:dyDescent="0.25">
      <c r="A23" s="10" t="s">
        <v>50</v>
      </c>
      <c r="B23" s="10" t="s">
        <v>53</v>
      </c>
      <c r="C23" s="10" t="s">
        <v>54</v>
      </c>
      <c r="D23" s="10">
        <v>2</v>
      </c>
      <c r="E23" s="10">
        <v>2</v>
      </c>
      <c r="F23" s="10" t="s">
        <v>577</v>
      </c>
      <c r="G23" s="10">
        <f t="shared" si="0"/>
        <v>4</v>
      </c>
    </row>
    <row r="24" spans="1:7" s="5" customFormat="1" ht="127.5" x14ac:dyDescent="0.25">
      <c r="A24" s="10" t="s">
        <v>50</v>
      </c>
      <c r="B24" s="10" t="s">
        <v>55</v>
      </c>
      <c r="C24" s="10" t="s">
        <v>56</v>
      </c>
      <c r="D24" s="10">
        <v>2</v>
      </c>
      <c r="E24" s="10">
        <v>3</v>
      </c>
      <c r="F24" s="10" t="s">
        <v>479</v>
      </c>
      <c r="G24" s="10">
        <f t="shared" si="0"/>
        <v>6</v>
      </c>
    </row>
    <row r="25" spans="1:7" s="5" customFormat="1" ht="38.25" x14ac:dyDescent="0.25">
      <c r="A25" s="10" t="s">
        <v>57</v>
      </c>
      <c r="B25" s="10" t="s">
        <v>58</v>
      </c>
      <c r="C25" s="10" t="s">
        <v>59</v>
      </c>
      <c r="D25" s="10">
        <v>3</v>
      </c>
      <c r="E25" s="13">
        <v>1</v>
      </c>
      <c r="F25" s="13" t="s">
        <v>138</v>
      </c>
      <c r="G25" s="10">
        <f t="shared" si="0"/>
        <v>3</v>
      </c>
    </row>
    <row r="26" spans="1:7" s="5" customFormat="1" ht="51" x14ac:dyDescent="0.25">
      <c r="A26" s="10" t="s">
        <v>57</v>
      </c>
      <c r="B26" s="10" t="s">
        <v>60</v>
      </c>
      <c r="C26" s="10" t="s">
        <v>61</v>
      </c>
      <c r="D26" s="10">
        <v>3</v>
      </c>
      <c r="E26" s="10">
        <v>0</v>
      </c>
      <c r="F26" s="10" t="s">
        <v>423</v>
      </c>
      <c r="G26" s="10">
        <f t="shared" si="0"/>
        <v>0</v>
      </c>
    </row>
    <row r="27" spans="1:7" s="5" customFormat="1" ht="76.5" x14ac:dyDescent="0.25">
      <c r="A27" s="10" t="s">
        <v>57</v>
      </c>
      <c r="B27" s="10" t="s">
        <v>62</v>
      </c>
      <c r="C27" s="10" t="s">
        <v>63</v>
      </c>
      <c r="D27" s="10">
        <v>3</v>
      </c>
      <c r="E27" s="10">
        <v>0</v>
      </c>
      <c r="F27" s="10" t="s">
        <v>424</v>
      </c>
      <c r="G27" s="10">
        <f t="shared" si="0"/>
        <v>0</v>
      </c>
    </row>
    <row r="28" spans="1:7" s="5" customFormat="1" ht="89.25" x14ac:dyDescent="0.25">
      <c r="A28" s="10" t="s">
        <v>57</v>
      </c>
      <c r="B28" s="10" t="s">
        <v>64</v>
      </c>
      <c r="C28" s="10" t="s">
        <v>65</v>
      </c>
      <c r="D28" s="10">
        <v>3</v>
      </c>
      <c r="E28" s="10">
        <v>0</v>
      </c>
      <c r="F28" s="10" t="s">
        <v>425</v>
      </c>
      <c r="G28" s="10">
        <f t="shared" si="0"/>
        <v>0</v>
      </c>
    </row>
    <row r="29" spans="1:7" s="5" customFormat="1" ht="89.25" x14ac:dyDescent="0.25">
      <c r="A29" s="10" t="s">
        <v>57</v>
      </c>
      <c r="B29" s="10" t="s">
        <v>66</v>
      </c>
      <c r="C29" s="10" t="s">
        <v>68</v>
      </c>
      <c r="D29" s="10">
        <v>3</v>
      </c>
      <c r="E29" s="10">
        <v>0</v>
      </c>
      <c r="F29" s="10" t="s">
        <v>519</v>
      </c>
      <c r="G29" s="10">
        <f t="shared" si="0"/>
        <v>0</v>
      </c>
    </row>
    <row r="30" spans="1:7" x14ac:dyDescent="0.25">
      <c r="A30" s="35" t="s">
        <v>67</v>
      </c>
      <c r="B30" s="35"/>
      <c r="C30" s="35"/>
      <c r="D30" s="35"/>
      <c r="E30" s="35"/>
      <c r="F30" s="35"/>
      <c r="G30" s="10">
        <f>SUM(G2:G29)</f>
        <v>122</v>
      </c>
    </row>
    <row r="31" spans="1:7" x14ac:dyDescent="0.25">
      <c r="A31" s="35" t="s">
        <v>69</v>
      </c>
      <c r="B31" s="35"/>
      <c r="C31" s="35"/>
      <c r="D31" s="35"/>
      <c r="E31" s="35"/>
      <c r="F31" s="35"/>
      <c r="G31" s="10">
        <f>IF(G30&lt;54,1,IF(G30&lt;108,2,IF(G30&lt;162,3,IF(G30&lt;216,4,5))))</f>
        <v>3</v>
      </c>
    </row>
    <row r="32" spans="1:7" x14ac:dyDescent="0.25">
      <c r="A32" s="34" t="s">
        <v>72</v>
      </c>
      <c r="B32" s="34"/>
      <c r="C32" s="34"/>
      <c r="D32" s="42" t="s">
        <v>426</v>
      </c>
      <c r="E32" s="35"/>
      <c r="F32" s="35"/>
      <c r="G32" s="35"/>
    </row>
    <row r="33" spans="1:7" x14ac:dyDescent="0.25">
      <c r="A33" s="34" t="s">
        <v>73</v>
      </c>
      <c r="B33" s="34"/>
      <c r="C33" s="34"/>
      <c r="D33" s="42" t="s">
        <v>427</v>
      </c>
      <c r="E33" s="35"/>
      <c r="F33" s="35"/>
      <c r="G33" s="35"/>
    </row>
    <row r="34" spans="1:7" x14ac:dyDescent="0.25">
      <c r="A34" s="34" t="s">
        <v>91</v>
      </c>
      <c r="B34" s="34"/>
      <c r="C34" s="34"/>
      <c r="D34" s="42" t="s">
        <v>428</v>
      </c>
      <c r="E34" s="35"/>
      <c r="F34" s="35"/>
      <c r="G34" s="35"/>
    </row>
  </sheetData>
  <mergeCells count="8">
    <mergeCell ref="A30:F30"/>
    <mergeCell ref="A31:F31"/>
    <mergeCell ref="A32:C32"/>
    <mergeCell ref="A33:C33"/>
    <mergeCell ref="A34:C34"/>
    <mergeCell ref="D32:G32"/>
    <mergeCell ref="D33:G33"/>
    <mergeCell ref="D34:G34"/>
  </mergeCells>
  <hyperlinks>
    <hyperlink ref="D32" r:id="rId1" xr:uid="{B8D41811-8CE8-46C3-9DFC-64EB371DD476}"/>
    <hyperlink ref="D33" r:id="rId2" xr:uid="{F6C62237-AC2A-401A-9D4E-21CB010B0B73}"/>
    <hyperlink ref="D34" r:id="rId3" xr:uid="{1B580702-6B3F-4F2D-BE85-E134F8CEE122}"/>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34"/>
  <sheetViews>
    <sheetView topLeftCell="A20" zoomScale="160" zoomScaleNormal="160" workbookViewId="0">
      <selection activeCell="E22" sqref="E22"/>
    </sheetView>
  </sheetViews>
  <sheetFormatPr defaultRowHeight="15" x14ac:dyDescent="0.25"/>
  <cols>
    <col min="1" max="1" width="12.7109375" style="2" bestFit="1" customWidth="1"/>
    <col min="2" max="2" width="4" style="2" bestFit="1" customWidth="1"/>
    <col min="3" max="3" width="22.42578125" style="2" bestFit="1" customWidth="1"/>
    <col min="4" max="4" width="4.7109375" style="2" bestFit="1" customWidth="1"/>
    <col min="5" max="5" width="5" style="2" bestFit="1" customWidth="1"/>
    <col min="6" max="6" width="90.85546875" style="2" customWidth="1"/>
    <col min="7" max="7" width="5" style="2" bestFit="1" customWidth="1"/>
    <col min="8" max="16384" width="9.140625" style="2"/>
  </cols>
  <sheetData>
    <row r="1" spans="1:7" ht="25.5" x14ac:dyDescent="0.25">
      <c r="A1" s="8" t="s">
        <v>0</v>
      </c>
      <c r="B1" s="8" t="s">
        <v>1</v>
      </c>
      <c r="C1" s="8" t="s">
        <v>2</v>
      </c>
      <c r="D1" s="8" t="s">
        <v>3</v>
      </c>
      <c r="E1" s="8" t="s">
        <v>4</v>
      </c>
      <c r="F1" s="8" t="s">
        <v>5</v>
      </c>
      <c r="G1" s="8" t="s">
        <v>6</v>
      </c>
    </row>
    <row r="2" spans="1:7" ht="114.75" x14ac:dyDescent="0.25">
      <c r="A2" s="10" t="s">
        <v>7</v>
      </c>
      <c r="B2" s="10" t="s">
        <v>8</v>
      </c>
      <c r="C2" s="10" t="s">
        <v>9</v>
      </c>
      <c r="D2" s="10">
        <v>1</v>
      </c>
      <c r="E2" s="10">
        <v>2</v>
      </c>
      <c r="F2" s="10" t="s">
        <v>431</v>
      </c>
      <c r="G2" s="10">
        <f>E2*D2</f>
        <v>2</v>
      </c>
    </row>
    <row r="3" spans="1:7" ht="63.75" x14ac:dyDescent="0.25">
      <c r="A3" s="10" t="s">
        <v>7</v>
      </c>
      <c r="B3" s="10" t="s">
        <v>10</v>
      </c>
      <c r="C3" s="10" t="s">
        <v>11</v>
      </c>
      <c r="D3" s="10">
        <v>1</v>
      </c>
      <c r="E3" s="10">
        <v>0</v>
      </c>
      <c r="F3" s="10" t="s">
        <v>432</v>
      </c>
      <c r="G3" s="10">
        <f t="shared" ref="G3:G29" si="0">E3*D3</f>
        <v>0</v>
      </c>
    </row>
    <row r="4" spans="1:7" ht="76.5" x14ac:dyDescent="0.25">
      <c r="A4" s="10" t="s">
        <v>7</v>
      </c>
      <c r="B4" s="10" t="s">
        <v>12</v>
      </c>
      <c r="C4" s="10" t="s">
        <v>13</v>
      </c>
      <c r="D4" s="10">
        <v>1</v>
      </c>
      <c r="E4" s="10">
        <v>1</v>
      </c>
      <c r="F4" s="10" t="s">
        <v>443</v>
      </c>
      <c r="G4" s="10">
        <f t="shared" si="0"/>
        <v>1</v>
      </c>
    </row>
    <row r="5" spans="1:7" ht="89.25" x14ac:dyDescent="0.25">
      <c r="A5" s="10" t="s">
        <v>7</v>
      </c>
      <c r="B5" s="10" t="s">
        <v>14</v>
      </c>
      <c r="C5" s="10" t="s">
        <v>15</v>
      </c>
      <c r="D5" s="10">
        <v>1</v>
      </c>
      <c r="E5" s="10">
        <v>5</v>
      </c>
      <c r="F5" s="10" t="s">
        <v>433</v>
      </c>
      <c r="G5" s="10">
        <f t="shared" si="0"/>
        <v>5</v>
      </c>
    </row>
    <row r="6" spans="1:7" ht="63.75" x14ac:dyDescent="0.25">
      <c r="A6" s="10" t="s">
        <v>7</v>
      </c>
      <c r="B6" s="10" t="s">
        <v>16</v>
      </c>
      <c r="C6" s="10" t="s">
        <v>17</v>
      </c>
      <c r="D6" s="10">
        <v>1</v>
      </c>
      <c r="E6" s="10">
        <v>5</v>
      </c>
      <c r="F6" s="10" t="s">
        <v>477</v>
      </c>
      <c r="G6" s="10">
        <f t="shared" si="0"/>
        <v>5</v>
      </c>
    </row>
    <row r="7" spans="1:7" ht="89.25" x14ac:dyDescent="0.25">
      <c r="A7" s="10" t="s">
        <v>7</v>
      </c>
      <c r="B7" s="10" t="s">
        <v>18</v>
      </c>
      <c r="C7" s="10" t="s">
        <v>19</v>
      </c>
      <c r="D7" s="10">
        <v>1</v>
      </c>
      <c r="E7" s="10">
        <v>5</v>
      </c>
      <c r="F7" s="10" t="s">
        <v>416</v>
      </c>
      <c r="G7" s="10">
        <f t="shared" si="0"/>
        <v>5</v>
      </c>
    </row>
    <row r="8" spans="1:7" ht="51" x14ac:dyDescent="0.25">
      <c r="A8" s="10" t="s">
        <v>7</v>
      </c>
      <c r="B8" s="10" t="s">
        <v>20</v>
      </c>
      <c r="C8" s="10" t="s">
        <v>21</v>
      </c>
      <c r="D8" s="10">
        <v>1</v>
      </c>
      <c r="E8" s="10">
        <v>5</v>
      </c>
      <c r="F8" s="10" t="s">
        <v>417</v>
      </c>
      <c r="G8" s="10">
        <f t="shared" si="0"/>
        <v>5</v>
      </c>
    </row>
    <row r="9" spans="1:7" ht="140.25" x14ac:dyDescent="0.25">
      <c r="A9" s="10" t="s">
        <v>7</v>
      </c>
      <c r="B9" s="10" t="s">
        <v>22</v>
      </c>
      <c r="C9" s="10" t="s">
        <v>23</v>
      </c>
      <c r="D9" s="10">
        <v>1</v>
      </c>
      <c r="E9" s="12">
        <v>2</v>
      </c>
      <c r="F9" s="10" t="s">
        <v>483</v>
      </c>
      <c r="G9" s="10">
        <f t="shared" si="0"/>
        <v>2</v>
      </c>
    </row>
    <row r="10" spans="1:7" ht="165.75" x14ac:dyDescent="0.25">
      <c r="A10" s="10" t="s">
        <v>7</v>
      </c>
      <c r="B10" s="10" t="s">
        <v>24</v>
      </c>
      <c r="C10" s="10" t="s">
        <v>25</v>
      </c>
      <c r="D10" s="10">
        <v>1</v>
      </c>
      <c r="E10" s="12">
        <v>2</v>
      </c>
      <c r="F10" s="10" t="s">
        <v>434</v>
      </c>
      <c r="G10" s="10">
        <f t="shared" si="0"/>
        <v>2</v>
      </c>
    </row>
    <row r="11" spans="1:7" ht="63.75" x14ac:dyDescent="0.25">
      <c r="A11" s="10" t="s">
        <v>7</v>
      </c>
      <c r="B11" s="10" t="s">
        <v>26</v>
      </c>
      <c r="C11" s="10" t="s">
        <v>27</v>
      </c>
      <c r="D11" s="10">
        <v>1</v>
      </c>
      <c r="E11" s="12">
        <v>0</v>
      </c>
      <c r="F11" s="10" t="s">
        <v>473</v>
      </c>
      <c r="G11" s="10">
        <f t="shared" si="0"/>
        <v>0</v>
      </c>
    </row>
    <row r="12" spans="1:7" ht="76.5" x14ac:dyDescent="0.25">
      <c r="A12" s="10" t="s">
        <v>28</v>
      </c>
      <c r="B12" s="10" t="s">
        <v>29</v>
      </c>
      <c r="C12" s="10" t="s">
        <v>30</v>
      </c>
      <c r="D12" s="10">
        <v>3</v>
      </c>
      <c r="E12" s="12">
        <v>5</v>
      </c>
      <c r="F12" s="10" t="s">
        <v>180</v>
      </c>
      <c r="G12" s="10">
        <f t="shared" si="0"/>
        <v>15</v>
      </c>
    </row>
    <row r="13" spans="1:7" ht="89.25" x14ac:dyDescent="0.25">
      <c r="A13" s="10" t="s">
        <v>28</v>
      </c>
      <c r="B13" s="10" t="s">
        <v>31</v>
      </c>
      <c r="C13" s="10" t="s">
        <v>32</v>
      </c>
      <c r="D13" s="10">
        <v>3</v>
      </c>
      <c r="E13" s="10">
        <v>4</v>
      </c>
      <c r="F13" s="10" t="s">
        <v>127</v>
      </c>
      <c r="G13" s="10">
        <f t="shared" si="0"/>
        <v>12</v>
      </c>
    </row>
    <row r="14" spans="1:7" ht="63.75" x14ac:dyDescent="0.25">
      <c r="A14" s="10" t="s">
        <v>28</v>
      </c>
      <c r="B14" s="10" t="s">
        <v>33</v>
      </c>
      <c r="C14" s="10" t="s">
        <v>34</v>
      </c>
      <c r="D14" s="10">
        <v>3</v>
      </c>
      <c r="E14" s="10">
        <v>2</v>
      </c>
      <c r="F14" s="10" t="s">
        <v>113</v>
      </c>
      <c r="G14" s="10">
        <f t="shared" si="0"/>
        <v>6</v>
      </c>
    </row>
    <row r="15" spans="1:7" ht="51" x14ac:dyDescent="0.25">
      <c r="A15" s="10" t="s">
        <v>35</v>
      </c>
      <c r="B15" s="10" t="s">
        <v>36</v>
      </c>
      <c r="C15" s="10" t="s">
        <v>37</v>
      </c>
      <c r="D15" s="10">
        <v>2</v>
      </c>
      <c r="E15" s="10">
        <v>0</v>
      </c>
      <c r="F15" s="10" t="s">
        <v>191</v>
      </c>
      <c r="G15" s="10">
        <f t="shared" si="0"/>
        <v>0</v>
      </c>
    </row>
    <row r="16" spans="1:7" ht="76.5" x14ac:dyDescent="0.25">
      <c r="A16" s="10" t="s">
        <v>35</v>
      </c>
      <c r="B16" s="10" t="s">
        <v>38</v>
      </c>
      <c r="C16" s="10" t="s">
        <v>39</v>
      </c>
      <c r="D16" s="10">
        <v>2</v>
      </c>
      <c r="E16" s="10">
        <v>5</v>
      </c>
      <c r="F16" s="10" t="s">
        <v>536</v>
      </c>
      <c r="G16" s="10">
        <f t="shared" si="0"/>
        <v>10</v>
      </c>
    </row>
    <row r="17" spans="1:7" ht="51" x14ac:dyDescent="0.25">
      <c r="A17" s="10" t="s">
        <v>35</v>
      </c>
      <c r="B17" s="10" t="s">
        <v>40</v>
      </c>
      <c r="C17" s="10" t="s">
        <v>41</v>
      </c>
      <c r="D17" s="10">
        <v>2</v>
      </c>
      <c r="E17" s="10">
        <v>3</v>
      </c>
      <c r="F17" s="10" t="s">
        <v>444</v>
      </c>
      <c r="G17" s="10">
        <f t="shared" si="0"/>
        <v>6</v>
      </c>
    </row>
    <row r="18" spans="1:7" ht="114.75" x14ac:dyDescent="0.25">
      <c r="A18" s="10" t="s">
        <v>35</v>
      </c>
      <c r="B18" s="10" t="s">
        <v>42</v>
      </c>
      <c r="C18" s="10" t="s">
        <v>43</v>
      </c>
      <c r="D18" s="10">
        <v>2</v>
      </c>
      <c r="E18" s="10">
        <v>4</v>
      </c>
      <c r="F18" s="10" t="s">
        <v>130</v>
      </c>
      <c r="G18" s="10">
        <f t="shared" si="0"/>
        <v>8</v>
      </c>
    </row>
    <row r="19" spans="1:7" ht="76.5" x14ac:dyDescent="0.25">
      <c r="A19" s="10" t="s">
        <v>35</v>
      </c>
      <c r="B19" s="10" t="s">
        <v>44</v>
      </c>
      <c r="C19" s="10" t="s">
        <v>45</v>
      </c>
      <c r="D19" s="10">
        <v>2</v>
      </c>
      <c r="E19" s="10">
        <v>4</v>
      </c>
      <c r="F19" s="10" t="s">
        <v>539</v>
      </c>
      <c r="G19" s="10">
        <f t="shared" si="0"/>
        <v>8</v>
      </c>
    </row>
    <row r="20" spans="1:7" ht="102" x14ac:dyDescent="0.25">
      <c r="A20" s="10" t="s">
        <v>35</v>
      </c>
      <c r="B20" s="10" t="s">
        <v>46</v>
      </c>
      <c r="C20" s="10" t="s">
        <v>47</v>
      </c>
      <c r="D20" s="10">
        <v>2</v>
      </c>
      <c r="E20" s="10">
        <v>5</v>
      </c>
      <c r="F20" s="10" t="s">
        <v>442</v>
      </c>
      <c r="G20" s="10">
        <f t="shared" si="0"/>
        <v>10</v>
      </c>
    </row>
    <row r="21" spans="1:7" ht="102" x14ac:dyDescent="0.25">
      <c r="A21" s="10" t="s">
        <v>35</v>
      </c>
      <c r="B21" s="10" t="s">
        <v>48</v>
      </c>
      <c r="C21" s="10" t="s">
        <v>49</v>
      </c>
      <c r="D21" s="10">
        <v>2</v>
      </c>
      <c r="E21" s="10">
        <v>5</v>
      </c>
      <c r="F21" s="10" t="s">
        <v>441</v>
      </c>
      <c r="G21" s="10">
        <f t="shared" si="0"/>
        <v>10</v>
      </c>
    </row>
    <row r="22" spans="1:7" ht="114.75" x14ac:dyDescent="0.25">
      <c r="A22" s="10" t="s">
        <v>50</v>
      </c>
      <c r="B22" s="10" t="s">
        <v>51</v>
      </c>
      <c r="C22" s="10" t="s">
        <v>52</v>
      </c>
      <c r="D22" s="10">
        <v>2</v>
      </c>
      <c r="E22" s="10">
        <v>1</v>
      </c>
      <c r="F22" s="10" t="s">
        <v>422</v>
      </c>
      <c r="G22" s="10">
        <f t="shared" si="0"/>
        <v>2</v>
      </c>
    </row>
    <row r="23" spans="1:7" ht="76.5" x14ac:dyDescent="0.25">
      <c r="A23" s="10" t="s">
        <v>50</v>
      </c>
      <c r="B23" s="10" t="s">
        <v>53</v>
      </c>
      <c r="C23" s="10" t="s">
        <v>54</v>
      </c>
      <c r="D23" s="10">
        <v>2</v>
      </c>
      <c r="E23" s="10">
        <v>2</v>
      </c>
      <c r="F23" s="10" t="s">
        <v>440</v>
      </c>
      <c r="G23" s="10">
        <f t="shared" si="0"/>
        <v>4</v>
      </c>
    </row>
    <row r="24" spans="1:7" ht="153" x14ac:dyDescent="0.25">
      <c r="A24" s="10" t="s">
        <v>50</v>
      </c>
      <c r="B24" s="10" t="s">
        <v>55</v>
      </c>
      <c r="C24" s="10" t="s">
        <v>56</v>
      </c>
      <c r="D24" s="10">
        <v>2</v>
      </c>
      <c r="E24" s="10">
        <v>3</v>
      </c>
      <c r="F24" s="10" t="s">
        <v>479</v>
      </c>
      <c r="G24" s="10">
        <f t="shared" si="0"/>
        <v>6</v>
      </c>
    </row>
    <row r="25" spans="1:7" ht="51" x14ac:dyDescent="0.25">
      <c r="A25" s="10" t="s">
        <v>57</v>
      </c>
      <c r="B25" s="10" t="s">
        <v>58</v>
      </c>
      <c r="C25" s="10" t="s">
        <v>59</v>
      </c>
      <c r="D25" s="10">
        <v>3</v>
      </c>
      <c r="E25" s="13">
        <v>1</v>
      </c>
      <c r="F25" s="13" t="s">
        <v>138</v>
      </c>
      <c r="G25" s="10">
        <f t="shared" si="0"/>
        <v>3</v>
      </c>
    </row>
    <row r="26" spans="1:7" ht="63.75" x14ac:dyDescent="0.25">
      <c r="A26" s="10" t="s">
        <v>57</v>
      </c>
      <c r="B26" s="10" t="s">
        <v>60</v>
      </c>
      <c r="C26" s="10" t="s">
        <v>61</v>
      </c>
      <c r="D26" s="10">
        <v>3</v>
      </c>
      <c r="E26" s="10">
        <v>0</v>
      </c>
      <c r="F26" s="10" t="s">
        <v>439</v>
      </c>
      <c r="G26" s="10">
        <f t="shared" si="0"/>
        <v>0</v>
      </c>
    </row>
    <row r="27" spans="1:7" ht="102" x14ac:dyDescent="0.25">
      <c r="A27" s="10" t="s">
        <v>57</v>
      </c>
      <c r="B27" s="10" t="s">
        <v>62</v>
      </c>
      <c r="C27" s="10" t="s">
        <v>63</v>
      </c>
      <c r="D27" s="10">
        <v>3</v>
      </c>
      <c r="E27" s="10">
        <v>0</v>
      </c>
      <c r="F27" s="10" t="s">
        <v>438</v>
      </c>
      <c r="G27" s="10">
        <f t="shared" si="0"/>
        <v>0</v>
      </c>
    </row>
    <row r="28" spans="1:7" ht="127.5" x14ac:dyDescent="0.25">
      <c r="A28" s="10" t="s">
        <v>57</v>
      </c>
      <c r="B28" s="10" t="s">
        <v>64</v>
      </c>
      <c r="C28" s="10" t="s">
        <v>65</v>
      </c>
      <c r="D28" s="10">
        <v>3</v>
      </c>
      <c r="E28" s="10">
        <v>0</v>
      </c>
      <c r="F28" s="10" t="s">
        <v>437</v>
      </c>
      <c r="G28" s="10">
        <f t="shared" si="0"/>
        <v>0</v>
      </c>
    </row>
    <row r="29" spans="1:7" ht="102" x14ac:dyDescent="0.25">
      <c r="A29" s="10" t="s">
        <v>57</v>
      </c>
      <c r="B29" s="10" t="s">
        <v>66</v>
      </c>
      <c r="C29" s="10" t="s">
        <v>68</v>
      </c>
      <c r="D29" s="10">
        <v>3</v>
      </c>
      <c r="E29" s="10">
        <v>0</v>
      </c>
      <c r="F29" s="10" t="s">
        <v>436</v>
      </c>
      <c r="G29" s="10">
        <f t="shared" si="0"/>
        <v>0</v>
      </c>
    </row>
    <row r="30" spans="1:7" x14ac:dyDescent="0.25">
      <c r="A30" s="30" t="s">
        <v>67</v>
      </c>
      <c r="B30" s="30"/>
      <c r="C30" s="30"/>
      <c r="D30" s="30"/>
      <c r="E30" s="30"/>
      <c r="F30" s="30"/>
      <c r="G30" s="14">
        <f>SUM(G2:G29)</f>
        <v>127</v>
      </c>
    </row>
    <row r="31" spans="1:7" x14ac:dyDescent="0.25">
      <c r="A31" s="30" t="s">
        <v>69</v>
      </c>
      <c r="B31" s="30"/>
      <c r="C31" s="30"/>
      <c r="D31" s="30"/>
      <c r="E31" s="30"/>
      <c r="F31" s="30"/>
      <c r="G31" s="14">
        <f>IF(G30&lt;54,1,IF(G30&lt;108,2,IF(G30&lt;162,3,IF(G30&lt;216,4,5))))</f>
        <v>3</v>
      </c>
    </row>
    <row r="32" spans="1:7" x14ac:dyDescent="0.25">
      <c r="A32" s="31" t="s">
        <v>72</v>
      </c>
      <c r="B32" s="31"/>
      <c r="C32" s="31"/>
      <c r="D32" s="50" t="s">
        <v>430</v>
      </c>
      <c r="E32" s="32"/>
      <c r="F32" s="32"/>
      <c r="G32" s="32"/>
    </row>
    <row r="33" spans="1:7" x14ac:dyDescent="0.25">
      <c r="A33" s="31" t="s">
        <v>73</v>
      </c>
      <c r="B33" s="31"/>
      <c r="C33" s="31"/>
      <c r="D33" s="50" t="s">
        <v>435</v>
      </c>
      <c r="E33" s="32"/>
      <c r="F33" s="32"/>
      <c r="G33" s="32"/>
    </row>
    <row r="34" spans="1:7" x14ac:dyDescent="0.25">
      <c r="A34" s="31" t="s">
        <v>91</v>
      </c>
      <c r="B34" s="31"/>
      <c r="C34" s="31"/>
      <c r="D34" s="50" t="s">
        <v>429</v>
      </c>
      <c r="E34" s="32"/>
      <c r="F34" s="32"/>
      <c r="G34" s="32"/>
    </row>
  </sheetData>
  <mergeCells count="8">
    <mergeCell ref="A30:F30"/>
    <mergeCell ref="A31:F31"/>
    <mergeCell ref="A32:C32"/>
    <mergeCell ref="A33:C33"/>
    <mergeCell ref="A34:C34"/>
    <mergeCell ref="D34:G34"/>
    <mergeCell ref="D33:G33"/>
    <mergeCell ref="D32:G32"/>
  </mergeCells>
  <hyperlinks>
    <hyperlink ref="D33" r:id="rId1" xr:uid="{BCFD1706-25A2-4635-AD22-0BFF9788E8E0}"/>
    <hyperlink ref="D34" r:id="rId2" xr:uid="{0C109BE4-A6E8-4002-8D4A-83F7E96AB699}"/>
    <hyperlink ref="D32" r:id="rId3" xr:uid="{AEDACEA5-1FF0-49F4-B8BD-B56020FDBAAD}"/>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34"/>
  <sheetViews>
    <sheetView topLeftCell="A18" zoomScale="145" zoomScaleNormal="145" workbookViewId="0">
      <selection activeCell="E22" sqref="E22"/>
    </sheetView>
  </sheetViews>
  <sheetFormatPr defaultRowHeight="15.75" x14ac:dyDescent="0.25"/>
  <cols>
    <col min="1" max="1" width="12.7109375" style="3" bestFit="1" customWidth="1"/>
    <col min="2" max="2" width="4.140625" style="3" bestFit="1" customWidth="1"/>
    <col min="3" max="3" width="25.28515625" style="3" customWidth="1"/>
    <col min="4" max="4" width="4.7109375" style="3" bestFit="1" customWidth="1"/>
    <col min="5" max="5" width="5.140625" style="3" bestFit="1" customWidth="1"/>
    <col min="6" max="6" width="112" style="3" bestFit="1" customWidth="1"/>
    <col min="7" max="7" width="5" style="3" bestFit="1" customWidth="1"/>
    <col min="8" max="16384" width="9.140625" style="3"/>
  </cols>
  <sheetData>
    <row r="1" spans="1:7" ht="25.5" x14ac:dyDescent="0.25">
      <c r="A1" s="8" t="s">
        <v>0</v>
      </c>
      <c r="B1" s="8" t="s">
        <v>1</v>
      </c>
      <c r="C1" s="8" t="s">
        <v>2</v>
      </c>
      <c r="D1" s="8" t="s">
        <v>3</v>
      </c>
      <c r="E1" s="8" t="s">
        <v>4</v>
      </c>
      <c r="F1" s="8" t="s">
        <v>5</v>
      </c>
      <c r="G1" s="8" t="s">
        <v>6</v>
      </c>
    </row>
    <row r="2" spans="1:7" ht="89.25" x14ac:dyDescent="0.25">
      <c r="A2" s="10" t="s">
        <v>7</v>
      </c>
      <c r="B2" s="10" t="s">
        <v>8</v>
      </c>
      <c r="C2" s="10" t="s">
        <v>9</v>
      </c>
      <c r="D2" s="10">
        <v>1</v>
      </c>
      <c r="E2" s="10">
        <v>0</v>
      </c>
      <c r="F2" s="10" t="s">
        <v>448</v>
      </c>
      <c r="G2" s="10">
        <f>E2*D2</f>
        <v>0</v>
      </c>
    </row>
    <row r="3" spans="1:7" ht="63.75" x14ac:dyDescent="0.25">
      <c r="A3" s="10" t="s">
        <v>7</v>
      </c>
      <c r="B3" s="10" t="s">
        <v>10</v>
      </c>
      <c r="C3" s="10" t="s">
        <v>11</v>
      </c>
      <c r="D3" s="10">
        <v>1</v>
      </c>
      <c r="E3" s="10">
        <v>5</v>
      </c>
      <c r="F3" s="10" t="s">
        <v>449</v>
      </c>
      <c r="G3" s="10">
        <f t="shared" ref="G3:G29" si="0">E3*D3</f>
        <v>5</v>
      </c>
    </row>
    <row r="4" spans="1:7" ht="102" x14ac:dyDescent="0.25">
      <c r="A4" s="10" t="s">
        <v>7</v>
      </c>
      <c r="B4" s="10" t="s">
        <v>12</v>
      </c>
      <c r="C4" s="10" t="s">
        <v>13</v>
      </c>
      <c r="D4" s="10">
        <v>1</v>
      </c>
      <c r="E4" s="10">
        <v>0</v>
      </c>
      <c r="F4" s="10" t="s">
        <v>520</v>
      </c>
      <c r="G4" s="10">
        <f t="shared" si="0"/>
        <v>0</v>
      </c>
    </row>
    <row r="5" spans="1:7" ht="51" x14ac:dyDescent="0.25">
      <c r="A5" s="10" t="s">
        <v>7</v>
      </c>
      <c r="B5" s="10" t="s">
        <v>14</v>
      </c>
      <c r="C5" s="10" t="s">
        <v>15</v>
      </c>
      <c r="D5" s="10">
        <v>1</v>
      </c>
      <c r="E5" s="10">
        <v>5</v>
      </c>
      <c r="F5" s="10" t="s">
        <v>450</v>
      </c>
      <c r="G5" s="10">
        <f t="shared" si="0"/>
        <v>5</v>
      </c>
    </row>
    <row r="6" spans="1:7" ht="89.25" x14ac:dyDescent="0.25">
      <c r="A6" s="10" t="s">
        <v>7</v>
      </c>
      <c r="B6" s="10" t="s">
        <v>16</v>
      </c>
      <c r="C6" s="10" t="s">
        <v>17</v>
      </c>
      <c r="D6" s="10">
        <v>1</v>
      </c>
      <c r="E6" s="10">
        <v>5</v>
      </c>
      <c r="F6" s="10" t="s">
        <v>537</v>
      </c>
      <c r="G6" s="10">
        <f t="shared" si="0"/>
        <v>5</v>
      </c>
    </row>
    <row r="7" spans="1:7" ht="76.5" x14ac:dyDescent="0.25">
      <c r="A7" s="10" t="s">
        <v>7</v>
      </c>
      <c r="B7" s="10" t="s">
        <v>18</v>
      </c>
      <c r="C7" s="10" t="s">
        <v>19</v>
      </c>
      <c r="D7" s="10">
        <v>1</v>
      </c>
      <c r="E7" s="10">
        <v>5</v>
      </c>
      <c r="F7" s="10" t="s">
        <v>451</v>
      </c>
      <c r="G7" s="10">
        <f t="shared" si="0"/>
        <v>5</v>
      </c>
    </row>
    <row r="8" spans="1:7" ht="51" x14ac:dyDescent="0.25">
      <c r="A8" s="10" t="s">
        <v>7</v>
      </c>
      <c r="B8" s="10" t="s">
        <v>20</v>
      </c>
      <c r="C8" s="10" t="s">
        <v>21</v>
      </c>
      <c r="D8" s="10">
        <v>1</v>
      </c>
      <c r="E8" s="10">
        <v>5</v>
      </c>
      <c r="F8" s="10" t="s">
        <v>452</v>
      </c>
      <c r="G8" s="10">
        <f t="shared" si="0"/>
        <v>5</v>
      </c>
    </row>
    <row r="9" spans="1:7" ht="114.75" x14ac:dyDescent="0.25">
      <c r="A9" s="10" t="s">
        <v>7</v>
      </c>
      <c r="B9" s="10" t="s">
        <v>22</v>
      </c>
      <c r="C9" s="10" t="s">
        <v>23</v>
      </c>
      <c r="D9" s="10">
        <v>1</v>
      </c>
      <c r="E9" s="12">
        <v>2</v>
      </c>
      <c r="F9" s="10" t="s">
        <v>483</v>
      </c>
      <c r="G9" s="10">
        <f t="shared" si="0"/>
        <v>2</v>
      </c>
    </row>
    <row r="10" spans="1:7" ht="140.25" x14ac:dyDescent="0.25">
      <c r="A10" s="10" t="s">
        <v>7</v>
      </c>
      <c r="B10" s="10" t="s">
        <v>24</v>
      </c>
      <c r="C10" s="10" t="s">
        <v>25</v>
      </c>
      <c r="D10" s="10">
        <v>1</v>
      </c>
      <c r="E10" s="12">
        <v>2</v>
      </c>
      <c r="F10" s="10" t="s">
        <v>467</v>
      </c>
      <c r="G10" s="10">
        <f t="shared" si="0"/>
        <v>2</v>
      </c>
    </row>
    <row r="11" spans="1:7" ht="51" x14ac:dyDescent="0.25">
      <c r="A11" s="10" t="s">
        <v>7</v>
      </c>
      <c r="B11" s="10" t="s">
        <v>26</v>
      </c>
      <c r="C11" s="10" t="s">
        <v>27</v>
      </c>
      <c r="D11" s="10">
        <v>1</v>
      </c>
      <c r="E11" s="12">
        <v>0</v>
      </c>
      <c r="F11" s="10" t="s">
        <v>473</v>
      </c>
      <c r="G11" s="10">
        <f t="shared" si="0"/>
        <v>0</v>
      </c>
    </row>
    <row r="12" spans="1:7" ht="63.75" x14ac:dyDescent="0.25">
      <c r="A12" s="10" t="s">
        <v>28</v>
      </c>
      <c r="B12" s="10" t="s">
        <v>29</v>
      </c>
      <c r="C12" s="10" t="s">
        <v>30</v>
      </c>
      <c r="D12" s="10">
        <v>3</v>
      </c>
      <c r="E12" s="12">
        <v>5</v>
      </c>
      <c r="F12" s="10" t="s">
        <v>181</v>
      </c>
      <c r="G12" s="10">
        <f t="shared" si="0"/>
        <v>15</v>
      </c>
    </row>
    <row r="13" spans="1:7" ht="76.5" x14ac:dyDescent="0.25">
      <c r="A13" s="10" t="s">
        <v>28</v>
      </c>
      <c r="B13" s="10" t="s">
        <v>31</v>
      </c>
      <c r="C13" s="10" t="s">
        <v>32</v>
      </c>
      <c r="D13" s="10">
        <v>3</v>
      </c>
      <c r="E13" s="10">
        <v>4</v>
      </c>
      <c r="F13" s="10" t="s">
        <v>127</v>
      </c>
      <c r="G13" s="10">
        <f t="shared" si="0"/>
        <v>12</v>
      </c>
    </row>
    <row r="14" spans="1:7" ht="51" x14ac:dyDescent="0.25">
      <c r="A14" s="10" t="s">
        <v>28</v>
      </c>
      <c r="B14" s="10" t="s">
        <v>33</v>
      </c>
      <c r="C14" s="10" t="s">
        <v>34</v>
      </c>
      <c r="D14" s="10">
        <v>3</v>
      </c>
      <c r="E14" s="10">
        <v>2</v>
      </c>
      <c r="F14" s="10" t="s">
        <v>113</v>
      </c>
      <c r="G14" s="10">
        <f t="shared" si="0"/>
        <v>6</v>
      </c>
    </row>
    <row r="15" spans="1:7" ht="51" x14ac:dyDescent="0.25">
      <c r="A15" s="10" t="s">
        <v>35</v>
      </c>
      <c r="B15" s="10" t="s">
        <v>36</v>
      </c>
      <c r="C15" s="10" t="s">
        <v>37</v>
      </c>
      <c r="D15" s="10">
        <v>2</v>
      </c>
      <c r="E15" s="10">
        <v>0</v>
      </c>
      <c r="F15" s="10" t="s">
        <v>191</v>
      </c>
      <c r="G15" s="10">
        <f t="shared" si="0"/>
        <v>0</v>
      </c>
    </row>
    <row r="16" spans="1:7" ht="76.5" x14ac:dyDescent="0.25">
      <c r="A16" s="10" t="s">
        <v>35</v>
      </c>
      <c r="B16" s="10" t="s">
        <v>38</v>
      </c>
      <c r="C16" s="10" t="s">
        <v>39</v>
      </c>
      <c r="D16" s="10">
        <v>2</v>
      </c>
      <c r="E16" s="10">
        <v>5</v>
      </c>
      <c r="F16" s="10" t="s">
        <v>538</v>
      </c>
      <c r="G16" s="10">
        <f t="shared" si="0"/>
        <v>10</v>
      </c>
    </row>
    <row r="17" spans="1:7" ht="51" x14ac:dyDescent="0.25">
      <c r="A17" s="10" t="s">
        <v>35</v>
      </c>
      <c r="B17" s="10" t="s">
        <v>40</v>
      </c>
      <c r="C17" s="10" t="s">
        <v>41</v>
      </c>
      <c r="D17" s="10">
        <v>2</v>
      </c>
      <c r="E17" s="10">
        <v>3</v>
      </c>
      <c r="F17" s="10" t="s">
        <v>468</v>
      </c>
      <c r="G17" s="10">
        <f t="shared" si="0"/>
        <v>6</v>
      </c>
    </row>
    <row r="18" spans="1:7" ht="89.25" x14ac:dyDescent="0.25">
      <c r="A18" s="10" t="s">
        <v>35</v>
      </c>
      <c r="B18" s="10" t="s">
        <v>42</v>
      </c>
      <c r="C18" s="10" t="s">
        <v>43</v>
      </c>
      <c r="D18" s="10">
        <v>2</v>
      </c>
      <c r="E18" s="10">
        <v>4</v>
      </c>
      <c r="F18" s="10" t="s">
        <v>469</v>
      </c>
      <c r="G18" s="10">
        <f t="shared" si="0"/>
        <v>8</v>
      </c>
    </row>
    <row r="19" spans="1:7" ht="76.5" x14ac:dyDescent="0.25">
      <c r="A19" s="10" t="s">
        <v>35</v>
      </c>
      <c r="B19" s="10" t="s">
        <v>44</v>
      </c>
      <c r="C19" s="10" t="s">
        <v>45</v>
      </c>
      <c r="D19" s="10">
        <v>2</v>
      </c>
      <c r="E19" s="10">
        <v>4</v>
      </c>
      <c r="F19" s="10" t="s">
        <v>540</v>
      </c>
      <c r="G19" s="10">
        <f t="shared" si="0"/>
        <v>8</v>
      </c>
    </row>
    <row r="20" spans="1:7" ht="102" x14ac:dyDescent="0.25">
      <c r="A20" s="10" t="s">
        <v>35</v>
      </c>
      <c r="B20" s="10" t="s">
        <v>46</v>
      </c>
      <c r="C20" s="10" t="s">
        <v>47</v>
      </c>
      <c r="D20" s="10">
        <v>2</v>
      </c>
      <c r="E20" s="10">
        <v>3</v>
      </c>
      <c r="F20" s="10" t="s">
        <v>453</v>
      </c>
      <c r="G20" s="10">
        <f t="shared" si="0"/>
        <v>6</v>
      </c>
    </row>
    <row r="21" spans="1:7" ht="63.75" x14ac:dyDescent="0.25">
      <c r="A21" s="10" t="s">
        <v>35</v>
      </c>
      <c r="B21" s="10" t="s">
        <v>48</v>
      </c>
      <c r="C21" s="10" t="s">
        <v>49</v>
      </c>
      <c r="D21" s="10">
        <v>2</v>
      </c>
      <c r="E21" s="10">
        <v>5</v>
      </c>
      <c r="F21" s="10" t="s">
        <v>454</v>
      </c>
      <c r="G21" s="10">
        <f t="shared" si="0"/>
        <v>10</v>
      </c>
    </row>
    <row r="22" spans="1:7" ht="102" x14ac:dyDescent="0.25">
      <c r="A22" s="10" t="s">
        <v>50</v>
      </c>
      <c r="B22" s="10" t="s">
        <v>51</v>
      </c>
      <c r="C22" s="10" t="s">
        <v>52</v>
      </c>
      <c r="D22" s="10">
        <v>2</v>
      </c>
      <c r="E22" s="10">
        <v>1</v>
      </c>
      <c r="F22" s="10" t="s">
        <v>455</v>
      </c>
      <c r="G22" s="10">
        <f t="shared" si="0"/>
        <v>2</v>
      </c>
    </row>
    <row r="23" spans="1:7" ht="51" x14ac:dyDescent="0.25">
      <c r="A23" s="10" t="s">
        <v>50</v>
      </c>
      <c r="B23" s="10" t="s">
        <v>53</v>
      </c>
      <c r="C23" s="10" t="s">
        <v>54</v>
      </c>
      <c r="D23" s="10">
        <v>2</v>
      </c>
      <c r="E23" s="10">
        <v>2</v>
      </c>
      <c r="F23" s="10" t="s">
        <v>466</v>
      </c>
      <c r="G23" s="10">
        <f t="shared" si="0"/>
        <v>4</v>
      </c>
    </row>
    <row r="24" spans="1:7" ht="127.5" x14ac:dyDescent="0.25">
      <c r="A24" s="10" t="s">
        <v>50</v>
      </c>
      <c r="B24" s="10" t="s">
        <v>55</v>
      </c>
      <c r="C24" s="10" t="s">
        <v>56</v>
      </c>
      <c r="D24" s="10">
        <v>2</v>
      </c>
      <c r="E24" s="10">
        <v>3</v>
      </c>
      <c r="F24" s="10" t="s">
        <v>479</v>
      </c>
      <c r="G24" s="10">
        <f t="shared" si="0"/>
        <v>6</v>
      </c>
    </row>
    <row r="25" spans="1:7" ht="38.25" x14ac:dyDescent="0.25">
      <c r="A25" s="10" t="s">
        <v>57</v>
      </c>
      <c r="B25" s="10" t="s">
        <v>58</v>
      </c>
      <c r="C25" s="10" t="s">
        <v>59</v>
      </c>
      <c r="D25" s="10">
        <v>3</v>
      </c>
      <c r="E25" s="13">
        <v>1</v>
      </c>
      <c r="F25" s="13" t="s">
        <v>138</v>
      </c>
      <c r="G25" s="10">
        <f t="shared" si="0"/>
        <v>3</v>
      </c>
    </row>
    <row r="26" spans="1:7" ht="51" x14ac:dyDescent="0.25">
      <c r="A26" s="10" t="s">
        <v>57</v>
      </c>
      <c r="B26" s="10" t="s">
        <v>60</v>
      </c>
      <c r="C26" s="10" t="s">
        <v>61</v>
      </c>
      <c r="D26" s="10">
        <v>3</v>
      </c>
      <c r="E26" s="10">
        <v>0</v>
      </c>
      <c r="F26" s="10" t="s">
        <v>456</v>
      </c>
      <c r="G26" s="10">
        <f t="shared" si="0"/>
        <v>0</v>
      </c>
    </row>
    <row r="27" spans="1:7" ht="102" x14ac:dyDescent="0.25">
      <c r="A27" s="10" t="s">
        <v>57</v>
      </c>
      <c r="B27" s="10" t="s">
        <v>62</v>
      </c>
      <c r="C27" s="10" t="s">
        <v>63</v>
      </c>
      <c r="D27" s="10">
        <v>3</v>
      </c>
      <c r="E27" s="10">
        <v>0</v>
      </c>
      <c r="F27" s="10" t="s">
        <v>457</v>
      </c>
      <c r="G27" s="10">
        <f t="shared" si="0"/>
        <v>0</v>
      </c>
    </row>
    <row r="28" spans="1:7" ht="102" x14ac:dyDescent="0.25">
      <c r="A28" s="10" t="s">
        <v>57</v>
      </c>
      <c r="B28" s="10" t="s">
        <v>64</v>
      </c>
      <c r="C28" s="10" t="s">
        <v>65</v>
      </c>
      <c r="D28" s="10">
        <v>3</v>
      </c>
      <c r="E28" s="10">
        <v>0</v>
      </c>
      <c r="F28" s="10" t="s">
        <v>437</v>
      </c>
      <c r="G28" s="10">
        <f t="shared" si="0"/>
        <v>0</v>
      </c>
    </row>
    <row r="29" spans="1:7" ht="76.5" x14ac:dyDescent="0.25">
      <c r="A29" s="10" t="s">
        <v>57</v>
      </c>
      <c r="B29" s="10" t="s">
        <v>66</v>
      </c>
      <c r="C29" s="10" t="s">
        <v>68</v>
      </c>
      <c r="D29" s="10">
        <v>3</v>
      </c>
      <c r="E29" s="10">
        <v>0</v>
      </c>
      <c r="F29" s="10" t="s">
        <v>458</v>
      </c>
      <c r="G29" s="10">
        <f t="shared" si="0"/>
        <v>0</v>
      </c>
    </row>
    <row r="30" spans="1:7" x14ac:dyDescent="0.25">
      <c r="A30" s="30" t="s">
        <v>67</v>
      </c>
      <c r="B30" s="30"/>
      <c r="C30" s="30"/>
      <c r="D30" s="30"/>
      <c r="E30" s="30"/>
      <c r="F30" s="30"/>
      <c r="G30" s="14">
        <f>SUM(G2:G29)</f>
        <v>125</v>
      </c>
    </row>
    <row r="31" spans="1:7" x14ac:dyDescent="0.25">
      <c r="A31" s="30" t="s">
        <v>69</v>
      </c>
      <c r="B31" s="30"/>
      <c r="C31" s="30"/>
      <c r="D31" s="30"/>
      <c r="E31" s="30"/>
      <c r="F31" s="30"/>
      <c r="G31" s="14">
        <f>IF(G30&lt;54,1,IF(G30&lt;108,2,IF(G30&lt;162,3,IF(G30&lt;216,4,5))))</f>
        <v>3</v>
      </c>
    </row>
    <row r="32" spans="1:7" x14ac:dyDescent="0.25">
      <c r="A32" s="31" t="s">
        <v>72</v>
      </c>
      <c r="B32" s="31"/>
      <c r="C32" s="31"/>
      <c r="D32" s="50" t="s">
        <v>446</v>
      </c>
      <c r="E32" s="32"/>
      <c r="F32" s="32"/>
      <c r="G32" s="32"/>
    </row>
    <row r="33" spans="1:7" x14ac:dyDescent="0.25">
      <c r="A33" s="31" t="s">
        <v>73</v>
      </c>
      <c r="B33" s="31"/>
      <c r="C33" s="31"/>
      <c r="D33" s="50" t="s">
        <v>445</v>
      </c>
      <c r="E33" s="32"/>
      <c r="F33" s="32"/>
      <c r="G33" s="32"/>
    </row>
    <row r="34" spans="1:7" x14ac:dyDescent="0.25">
      <c r="A34" s="31" t="s">
        <v>91</v>
      </c>
      <c r="B34" s="31"/>
      <c r="C34" s="31"/>
      <c r="D34" s="50" t="s">
        <v>447</v>
      </c>
      <c r="E34" s="32"/>
      <c r="F34" s="32"/>
      <c r="G34" s="32"/>
    </row>
  </sheetData>
  <mergeCells count="8">
    <mergeCell ref="A30:F30"/>
    <mergeCell ref="A31:F31"/>
    <mergeCell ref="A32:C32"/>
    <mergeCell ref="A33:C33"/>
    <mergeCell ref="A34:C34"/>
    <mergeCell ref="D34:G34"/>
    <mergeCell ref="D32:G32"/>
    <mergeCell ref="D33:G33"/>
  </mergeCells>
  <hyperlinks>
    <hyperlink ref="D33" r:id="rId1" xr:uid="{FA8B1C8C-2B1F-4813-863A-ED3A62322361}"/>
    <hyperlink ref="D32" r:id="rId2" xr:uid="{91C06332-9FB6-43E4-9F55-0E90D0AEF86A}"/>
    <hyperlink ref="D34" r:id="rId3" xr:uid="{D2C2200B-BD97-47C8-9192-7F37C39992B2}"/>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68"/>
  <sheetViews>
    <sheetView tabSelected="1" topLeftCell="A38" zoomScale="120" zoomScaleNormal="120" workbookViewId="0">
      <selection activeCell="M69" sqref="M69"/>
    </sheetView>
  </sheetViews>
  <sheetFormatPr defaultRowHeight="15" x14ac:dyDescent="0.25"/>
  <cols>
    <col min="2" max="2" width="19.140625" customWidth="1"/>
    <col min="7" max="7" width="19.42578125" bestFit="1" customWidth="1"/>
  </cols>
  <sheetData>
    <row r="1" spans="1:1" x14ac:dyDescent="0.25">
      <c r="A1" s="1" t="s">
        <v>5</v>
      </c>
    </row>
    <row r="29" spans="1:7" x14ac:dyDescent="0.25">
      <c r="A29" s="51" t="s">
        <v>471</v>
      </c>
      <c r="B29" s="51"/>
      <c r="C29" s="51"/>
      <c r="D29" s="51"/>
      <c r="E29" s="51"/>
      <c r="F29" s="51"/>
      <c r="G29">
        <f>'portarias-publicadas-pela-reito'!G30
+'divulgacoes-do-ifmg'!G30
+'certificados-e-declaracoes-parc'!G30
+'quantitativo-de-estudantes-com-'!G30
+'quantitativo-de-discentes-e-doc'!G30
+'matriculas-iniciais-nos-cursos-'!G30
+'chamados-de-suporte'!G30
+'link-internet'!G30
+'disciplinas-dos-cursos-tecnicos'!G30
+'disciplinas-dos-cursos-de-grdua'!G30
+'candidatos-e-vagas-graducacao'!G30
+cursos_mestrado_2024!G30
+pos_graduacao_lato_sensu!G30
+'cursos-de-graduacao-ofertados'!G30
+'cursos-tecnicos-ofertados'!G30
+'denuncias-apuradas-pela-correge'!G30
+'dados-abertos-extensao-convenio'!G30
+'dados-abertos-projetos-extensao'!G30
+'candidatos-e-vagas-tecnico'!G30
+'afastamentos-do-pais-dos-2024'!G30
+'afastamentos-do-pais-dos-2023'!G30</f>
        <v>2728</v>
      </c>
    </row>
    <row r="30" spans="1:7" x14ac:dyDescent="0.25">
      <c r="A30" s="51" t="s">
        <v>472</v>
      </c>
      <c r="B30" s="51"/>
      <c r="C30" s="51"/>
      <c r="D30" s="51"/>
      <c r="E30" s="51"/>
      <c r="F30" s="51"/>
      <c r="G30">
        <f>G29/21</f>
        <v>129.9047619047619</v>
      </c>
    </row>
    <row r="31" spans="1:7" ht="28.5" x14ac:dyDescent="0.45">
      <c r="A31" s="6" t="s">
        <v>470</v>
      </c>
      <c r="B31" s="6"/>
      <c r="C31" s="6"/>
      <c r="G31">
        <f>IF(G30&lt;54,1,IF(G30&lt;108,2,IF(G30&lt;162,3,IF(G30&lt;216,4,5))))</f>
        <v>3</v>
      </c>
    </row>
    <row r="33" spans="2:8" x14ac:dyDescent="0.25">
      <c r="H33">
        <f>AVERAGE(4,5,6,8)</f>
        <v>5.75</v>
      </c>
    </row>
    <row r="40" spans="2:8" x14ac:dyDescent="0.25">
      <c r="B40" s="51" t="s">
        <v>562</v>
      </c>
      <c r="C40" s="51"/>
      <c r="D40" s="51"/>
      <c r="G40" t="s">
        <v>563</v>
      </c>
    </row>
    <row r="41" spans="2:8" x14ac:dyDescent="0.25">
      <c r="B41" s="10" t="s">
        <v>7</v>
      </c>
      <c r="C41" s="19">
        <f>AVERAGE((AVERAGE('portarias-publicadas-pela-reito'!G2:G11)),(AVERAGE('divulgacoes-do-ifmg'!G2:G11)),(AVERAGE('certificados-e-declaracoes-parc'!G2:G11)),(AVERAGE('quantitativo-de-estudantes-com-'!G2:G11)),(AVERAGE('quantitativo-de-discentes-e-doc'!G2:G11)),(AVERAGE('matriculas-iniciais-nos-cursos-'!G2:G11)),(AVERAGE('chamados-de-suporte'!G2:G11)),(AVERAGE('link-internet'!G2:G11)),(AVERAGE('disciplinas-dos-cursos-tecnicos'!G2:G11)),(AVERAGE('disciplinas-dos-cursos-de-grdua'!G2:G11)),(AVERAGE('candidatos-e-vagas-graducacao'!G2:G11)),(AVERAGE(cursos_mestrado_2024!G2:G11)),(AVERAGE(pos_graduacao_lato_sensu!G2:G11)),(AVERAGE('cursos-de-graduacao-ofertados'!G2:G11)),(AVERAGE('cursos-tecnicos-ofertados'!G2:G11)),(AVERAGE('denuncias-apuradas-pela-correge'!G2:G11)),(AVERAGE('dados-abertos-extensao-convenio'!G2:G11)),(AVERAGE('dados-abertos-projetos-extensao'!G2:G11)),(AVERAGE('candidatos-e-vagas-tecnico'!G2:G11)),(AVERAGE('afastamentos-do-pais-dos-2024'!G2:G11)),(AVERAGE('afastamentos-do-pais-dos-2023'!G2:G11)))</f>
        <v>2.8952380952380952</v>
      </c>
      <c r="G41" s="10" t="s">
        <v>9</v>
      </c>
      <c r="H41" s="19">
        <f>AVERAGE(('portarias-publicadas-pela-reito'!E2),('divulgacoes-do-ifmg'!E2),('certificados-e-declaracoes-parc'!E2),('quantitativo-de-estudantes-com-'!E2),('quantitativo-de-discentes-e-doc'!E2),('matriculas-iniciais-nos-cursos-'!E2),('chamados-de-suporte'!E2),('link-internet'!E2),('disciplinas-dos-cursos-tecnicos'!E2),('disciplinas-dos-cursos-de-grdua'!E2),('candidatos-e-vagas-graducacao'!E2),(cursos_mestrado_2024!E2),(pos_graduacao_lato_sensu!E2),('cursos-de-graduacao-ofertados'!E2),('cursos-tecnicos-ofertados'!E2),('denuncias-apuradas-pela-correge'!E2),('dados-abertos-extensao-convenio'!E2),('dados-abertos-projetos-extensao'!E2),('candidatos-e-vagas-tecnico'!E2),('afastamentos-do-pais-dos-2024'!E2),('afastamentos-do-pais-dos-2023'!E2))</f>
        <v>0.95238095238095233</v>
      </c>
    </row>
    <row r="42" spans="2:8" x14ac:dyDescent="0.25">
      <c r="B42" s="10" t="s">
        <v>28</v>
      </c>
      <c r="C42" s="19">
        <f>AVERAGE((AVERAGE('portarias-publicadas-pela-reito'!E12:E14)),(AVERAGE('divulgacoes-do-ifmg'!E12:E14)),(AVERAGE('certificados-e-declaracoes-parc'!E12:E14)),(AVERAGE('quantitativo-de-estudantes-com-'!E12:E14)),(AVERAGE('quantitativo-de-discentes-e-doc'!E12:E14)),(AVERAGE('matriculas-iniciais-nos-cursos-'!E12:E14)),(AVERAGE('chamados-de-suporte'!E12:E14)),(AVERAGE('link-internet'!E12:E14)),(AVERAGE('disciplinas-dos-cursos-tecnicos'!E12:E14)),(AVERAGE('disciplinas-dos-cursos-de-grdua'!E12:E14)),(AVERAGE('candidatos-e-vagas-graducacao'!E12:E14)),(AVERAGE(cursos_mestrado_2024!E12:E14)),(AVERAGE(pos_graduacao_lato_sensu!E12:E14)),(AVERAGE('cursos-de-graduacao-ofertados'!E12:E14)),(AVERAGE('cursos-tecnicos-ofertados'!E12:E14)),(AVERAGE('denuncias-apuradas-pela-correge'!E12:E14)),(AVERAGE('dados-abertos-extensao-convenio'!E12:E14)),(AVERAGE('dados-abertos-projetos-extensao'!E12:E14)),(AVERAGE('candidatos-e-vagas-tecnico'!E12:E14)),(AVERAGE('afastamentos-do-pais-dos-2024'!E12:E14)),(AVERAGE('afastamentos-do-pais-dos-2023'!E12:E14)))</f>
        <v>3.6666666666666665</v>
      </c>
      <c r="G42" s="10" t="s">
        <v>11</v>
      </c>
      <c r="H42" s="19">
        <f>AVERAGE(('portarias-publicadas-pela-reito'!E3),('divulgacoes-do-ifmg'!E3),('certificados-e-declaracoes-parc'!E3),('quantitativo-de-estudantes-com-'!E3),('quantitativo-de-discentes-e-doc'!E3),('matriculas-iniciais-nos-cursos-'!E3),('chamados-de-suporte'!E3),('link-internet'!E3),('disciplinas-dos-cursos-tecnicos'!E3),('disciplinas-dos-cursos-de-grdua'!E3),('candidatos-e-vagas-graducacao'!E3),(cursos_mestrado_2024!E3),(pos_graduacao_lato_sensu!E3),('cursos-de-graduacao-ofertados'!E3),('cursos-tecnicos-ofertados'!E3),('denuncias-apuradas-pela-correge'!E3),('dados-abertos-extensao-convenio'!E3),('dados-abertos-projetos-extensao'!E3),('candidatos-e-vagas-tecnico'!E3),('afastamentos-do-pais-dos-2024'!E3),('afastamentos-do-pais-dos-2023'!E3))</f>
        <v>3.0952380952380953</v>
      </c>
    </row>
    <row r="43" spans="2:8" ht="25.5" x14ac:dyDescent="0.25">
      <c r="B43" s="10" t="s">
        <v>35</v>
      </c>
      <c r="C43" s="19">
        <f>AVERAGE((AVERAGE('portarias-publicadas-pela-reito'!E15:E21)),(AVERAGE('divulgacoes-do-ifmg'!E15:E21)),(AVERAGE('certificados-e-declaracoes-parc'!E15:E21)),(AVERAGE('quantitativo-de-estudantes-com-'!E15:E21)),(AVERAGE('quantitativo-de-discentes-e-doc'!E15:E21)),(AVERAGE('matriculas-iniciais-nos-cursos-'!E15:E21)),(AVERAGE('chamados-de-suporte'!E15:E21)),(AVERAGE('link-internet'!E15:E21)),(AVERAGE('disciplinas-dos-cursos-tecnicos'!E15:E21)),(AVERAGE('disciplinas-dos-cursos-de-grdua'!E15:E21)),(AVERAGE('candidatos-e-vagas-graducacao'!E15:E21)),(AVERAGE(cursos_mestrado_2024!E15:E21)),(AVERAGE(pos_graduacao_lato_sensu!E15:E21)),(AVERAGE('cursos-de-graduacao-ofertados'!E15:E21)),(AVERAGE('cursos-tecnicos-ofertados'!E15:E21)),(AVERAGE('denuncias-apuradas-pela-correge'!E15:E21)),(AVERAGE('dados-abertos-extensao-convenio'!E15:E21)),(AVERAGE('dados-abertos-projetos-extensao'!E15:E21)),(AVERAGE('candidatos-e-vagas-tecnico'!E15:E21)),(AVERAGE('afastamentos-do-pais-dos-2024'!E15:E21)),(AVERAGE('afastamentos-do-pais-dos-2023'!E15:E21)))</f>
        <v>3.7755102040816331</v>
      </c>
      <c r="G43" s="10" t="s">
        <v>13</v>
      </c>
      <c r="H43" s="19">
        <f>AVERAGE(('portarias-publicadas-pela-reito'!E4),('divulgacoes-do-ifmg'!E4),('certificados-e-declaracoes-parc'!E4),('quantitativo-de-estudantes-com-'!E4),('quantitativo-de-discentes-e-doc'!E4),('matriculas-iniciais-nos-cursos-'!E4),('chamados-de-suporte'!E4),('link-internet'!E4),('disciplinas-dos-cursos-tecnicos'!E4),('disciplinas-dos-cursos-de-grdua'!E4),('candidatos-e-vagas-graducacao'!E4),(cursos_mestrado_2024!E4),(pos_graduacao_lato_sensu!E4),('cursos-de-graduacao-ofertados'!E4),('cursos-tecnicos-ofertados'!E4),('denuncias-apuradas-pela-correge'!E4),('dados-abertos-extensao-convenio'!E4),('dados-abertos-projetos-extensao'!E4),('candidatos-e-vagas-tecnico'!E4),('afastamentos-do-pais-dos-2024'!E4),('afastamentos-do-pais-dos-2023'!E4))</f>
        <v>1.5714285714285714</v>
      </c>
    </row>
    <row r="44" spans="2:8" x14ac:dyDescent="0.25">
      <c r="B44" s="10" t="s">
        <v>50</v>
      </c>
      <c r="C44" s="19">
        <f>AVERAGE((AVERAGE('portarias-publicadas-pela-reito'!E22:E24)),(AVERAGE('divulgacoes-do-ifmg'!E22:E24)),(AVERAGE('certificados-e-declaracoes-parc'!E22:E24)),(AVERAGE('quantitativo-de-estudantes-com-'!E22:E24)),(AVERAGE('quantitativo-de-discentes-e-doc'!E22:E24)),(AVERAGE('matriculas-iniciais-nos-cursos-'!E22:E24)),(AVERAGE('chamados-de-suporte'!E22:E24)),(AVERAGE('link-internet'!E22:E24)),(AVERAGE('disciplinas-dos-cursos-tecnicos'!E22:E24)),(AVERAGE('disciplinas-dos-cursos-de-grdua'!E22:E24)),(AVERAGE('candidatos-e-vagas-graducacao'!E22:E24)),(AVERAGE(cursos_mestrado_2024!E22:E24)),(AVERAGE(pos_graduacao_lato_sensu!E22:E24)),(AVERAGE('cursos-de-graduacao-ofertados'!E22:E24)),(AVERAGE('cursos-tecnicos-ofertados'!E22:E24)),(AVERAGE('denuncias-apuradas-pela-correge'!E22:E24)),(AVERAGE('dados-abertos-extensao-convenio'!E22:E24)),(AVERAGE('dados-abertos-projetos-extensao'!E22:E24)),(AVERAGE('candidatos-e-vagas-tecnico'!E22:E24)),(AVERAGE('afastamentos-do-pais-dos-2024'!E22:E24)),(AVERAGE('afastamentos-do-pais-dos-2023'!E22:E24)))</f>
        <v>2.0158730158730158</v>
      </c>
      <c r="G44" s="10" t="s">
        <v>15</v>
      </c>
      <c r="H44" s="19">
        <f>AVERAGE(('portarias-publicadas-pela-reito'!E5),('divulgacoes-do-ifmg'!E5),('certificados-e-declaracoes-parc'!E5),('quantitativo-de-estudantes-com-'!E5),('quantitativo-de-discentes-e-doc'!E5),('matriculas-iniciais-nos-cursos-'!E5),('chamados-de-suporte'!E5),('link-internet'!E5),('disciplinas-dos-cursos-tecnicos'!E5),('disciplinas-dos-cursos-de-grdua'!E5),('candidatos-e-vagas-graducacao'!E5),(cursos_mestrado_2024!E5),(pos_graduacao_lato_sensu!E5),('cursos-de-graduacao-ofertados'!E5),('cursos-tecnicos-ofertados'!E5),('denuncias-apuradas-pela-correge'!E5),('dados-abertos-extensao-convenio'!E5),('dados-abertos-projetos-extensao'!E5),('candidatos-e-vagas-tecnico'!E5),('afastamentos-do-pais-dos-2024'!E5),('afastamentos-do-pais-dos-2023'!E5))</f>
        <v>5</v>
      </c>
    </row>
    <row r="45" spans="2:8" ht="25.5" x14ac:dyDescent="0.25">
      <c r="B45" s="10" t="s">
        <v>57</v>
      </c>
      <c r="C45" s="19">
        <f>AVERAGE((AVERAGE('portarias-publicadas-pela-reito'!E23:E29)),(AVERAGE('divulgacoes-do-ifmg'!E23:E29)),(AVERAGE('certificados-e-declaracoes-parc'!E23:E29)),(AVERAGE('quantitativo-de-estudantes-com-'!E23:E29)),(AVERAGE('quantitativo-de-discentes-e-doc'!E23:E29)),(AVERAGE('matriculas-iniciais-nos-cursos-'!E23:E29)),(AVERAGE('chamados-de-suporte'!E23:E29)),(AVERAGE('link-internet'!E23:E29)),(AVERAGE('disciplinas-dos-cursos-tecnicos'!E23:E29)),(AVERAGE('disciplinas-dos-cursos-de-grdua'!E23:E29)),(AVERAGE('candidatos-e-vagas-graducacao'!E23:E29)),(AVERAGE(cursos_mestrado_2024!E23:E29)),(AVERAGE(pos_graduacao_lato_sensu!E23:E29)),(AVERAGE('cursos-de-graduacao-ofertados'!E23:E29)),(AVERAGE('cursos-tecnicos-ofertados'!E23:E29)),(AVERAGE('denuncias-apuradas-pela-correge'!E23:E29)),(AVERAGE('dados-abertos-extensao-convenio'!E23:E29)),(AVERAGE('dados-abertos-projetos-extensao'!E23:E29)),(AVERAGE('candidatos-e-vagas-tecnico'!E23:E29)),(AVERAGE('afastamentos-do-pais-dos-2024'!E23:E29)),(AVERAGE('afastamentos-do-pais-dos-2023'!E23:E29)))</f>
        <v>0.8639455782312927</v>
      </c>
      <c r="G45" s="10" t="s">
        <v>17</v>
      </c>
      <c r="H45" s="19">
        <f>AVERAGE(('portarias-publicadas-pela-reito'!E6),('divulgacoes-do-ifmg'!E6),('certificados-e-declaracoes-parc'!E6),('quantitativo-de-estudantes-com-'!E6),('quantitativo-de-discentes-e-doc'!E6),('matriculas-iniciais-nos-cursos-'!E6),('chamados-de-suporte'!E6),('link-internet'!E6),('disciplinas-dos-cursos-tecnicos'!E6),('disciplinas-dos-cursos-de-grdua'!E6),('candidatos-e-vagas-graducacao'!E6),(cursos_mestrado_2024!E6),(pos_graduacao_lato_sensu!E6),('cursos-de-graduacao-ofertados'!E6),('cursos-tecnicos-ofertados'!E6),('denuncias-apuradas-pela-correge'!E6),('dados-abertos-extensao-convenio'!E6),('dados-abertos-projetos-extensao'!E6),('candidatos-e-vagas-tecnico'!E6),('afastamentos-do-pais-dos-2024'!E6),('afastamentos-do-pais-dos-2023'!E6))</f>
        <v>4.666666666666667</v>
      </c>
    </row>
    <row r="46" spans="2:8" ht="25.5" x14ac:dyDescent="0.25">
      <c r="G46" s="10" t="s">
        <v>19</v>
      </c>
      <c r="H46" s="19">
        <f>AVERAGE(('portarias-publicadas-pela-reito'!E7),('divulgacoes-do-ifmg'!E7),('certificados-e-declaracoes-parc'!E7),('quantitativo-de-estudantes-com-'!E7),('quantitativo-de-discentes-e-doc'!E7),('matriculas-iniciais-nos-cursos-'!E7),('chamados-de-suporte'!E7),('link-internet'!E7),('disciplinas-dos-cursos-tecnicos'!E7),('disciplinas-dos-cursos-de-grdua'!E7),('candidatos-e-vagas-graducacao'!E7),(cursos_mestrado_2024!E7),(pos_graduacao_lato_sensu!E7),('cursos-de-graduacao-ofertados'!E7),('cursos-tecnicos-ofertados'!E7),('denuncias-apuradas-pela-correge'!E7),('dados-abertos-extensao-convenio'!E7),('dados-abertos-projetos-extensao'!E7),('candidatos-e-vagas-tecnico'!E7),('afastamentos-do-pais-dos-2024'!E7),('afastamentos-do-pais-dos-2023'!E7))</f>
        <v>5</v>
      </c>
    </row>
    <row r="47" spans="2:8" ht="25.5" x14ac:dyDescent="0.25">
      <c r="G47" s="10" t="s">
        <v>21</v>
      </c>
      <c r="H47" s="19">
        <f>AVERAGE(('portarias-publicadas-pela-reito'!E8),('divulgacoes-do-ifmg'!E8),('certificados-e-declaracoes-parc'!E8),('quantitativo-de-estudantes-com-'!E8),('quantitativo-de-discentes-e-doc'!E8),('matriculas-iniciais-nos-cursos-'!E8),('chamados-de-suporte'!E8),('link-internet'!E8),('disciplinas-dos-cursos-tecnicos'!E8),('disciplinas-dos-cursos-de-grdua'!E8),('candidatos-e-vagas-graducacao'!E8),(cursos_mestrado_2024!E8),(pos_graduacao_lato_sensu!E8),('cursos-de-graduacao-ofertados'!E8),('cursos-tecnicos-ofertados'!E8),('denuncias-apuradas-pela-correge'!E8),('dados-abertos-extensao-convenio'!E8),('dados-abertos-projetos-extensao'!E8),('candidatos-e-vagas-tecnico'!E8),('afastamentos-do-pais-dos-2024'!E8),('afastamentos-do-pais-dos-2023'!E8))</f>
        <v>4.3809523809523814</v>
      </c>
    </row>
    <row r="48" spans="2:8" x14ac:dyDescent="0.25">
      <c r="G48" s="10" t="s">
        <v>23</v>
      </c>
      <c r="H48" s="19">
        <f>AVERAGE(('portarias-publicadas-pela-reito'!E9),('divulgacoes-do-ifmg'!E9),('certificados-e-declaracoes-parc'!E9),('quantitativo-de-estudantes-com-'!E9),('quantitativo-de-discentes-e-doc'!E9),('matriculas-iniciais-nos-cursos-'!E9),('chamados-de-suporte'!E9),('link-internet'!E9),('disciplinas-dos-cursos-tecnicos'!E9),('disciplinas-dos-cursos-de-grdua'!E9),('candidatos-e-vagas-graducacao'!E9),(cursos_mestrado_2024!E9),(pos_graduacao_lato_sensu!E9),('cursos-de-graduacao-ofertados'!E9),('cursos-tecnicos-ofertados'!E9),('denuncias-apuradas-pela-correge'!E9),('dados-abertos-extensao-convenio'!E9),('dados-abertos-projetos-extensao'!E9),('candidatos-e-vagas-tecnico'!E9),('afastamentos-do-pais-dos-2024'!E9),('afastamentos-do-pais-dos-2023'!E9))</f>
        <v>2.2857142857142856</v>
      </c>
    </row>
    <row r="49" spans="7:8" x14ac:dyDescent="0.25">
      <c r="G49" s="10" t="s">
        <v>25</v>
      </c>
      <c r="H49" s="19">
        <f>AVERAGE(('portarias-publicadas-pela-reito'!E10),('divulgacoes-do-ifmg'!E10),('certificados-e-declaracoes-parc'!E10),('quantitativo-de-estudantes-com-'!E10),('quantitativo-de-discentes-e-doc'!E10),('matriculas-iniciais-nos-cursos-'!E10),('chamados-de-suporte'!E10),('link-internet'!E10),('disciplinas-dos-cursos-tecnicos'!E10),('disciplinas-dos-cursos-de-grdua'!E10),('candidatos-e-vagas-graducacao'!E10),(cursos_mestrado_2024!E10),(pos_graduacao_lato_sensu!E10),('cursos-de-graduacao-ofertados'!E10),('cursos-tecnicos-ofertados'!E10),('denuncias-apuradas-pela-correge'!E10),('dados-abertos-extensao-convenio'!E10),('dados-abertos-projetos-extensao'!E10),('candidatos-e-vagas-tecnico'!E10),('afastamentos-do-pais-dos-2024'!E10),('afastamentos-do-pais-dos-2023'!E10))</f>
        <v>2</v>
      </c>
    </row>
    <row r="50" spans="7:8" x14ac:dyDescent="0.25">
      <c r="G50" s="10" t="s">
        <v>27</v>
      </c>
      <c r="H50" s="19">
        <f>AVERAGE(('portarias-publicadas-pela-reito'!E11),('divulgacoes-do-ifmg'!E11),('certificados-e-declaracoes-parc'!E11),('quantitativo-de-estudantes-com-'!E11),('quantitativo-de-discentes-e-doc'!E11),('matriculas-iniciais-nos-cursos-'!E11),('chamados-de-suporte'!E11),('link-internet'!E11),('disciplinas-dos-cursos-tecnicos'!E11),('disciplinas-dos-cursos-de-grdua'!E11),('candidatos-e-vagas-graducacao'!E11),(cursos_mestrado_2024!E11),(pos_graduacao_lato_sensu!E11),('cursos-de-graduacao-ofertados'!E11),('cursos-tecnicos-ofertados'!E11),('denuncias-apuradas-pela-correge'!E11),('dados-abertos-extensao-convenio'!E11),('dados-abertos-projetos-extensao'!E11),('candidatos-e-vagas-tecnico'!E11),('afastamentos-do-pais-dos-2024'!E11),('afastamentos-do-pais-dos-2023'!E11))</f>
        <v>0</v>
      </c>
    </row>
    <row r="51" spans="7:8" x14ac:dyDescent="0.25">
      <c r="G51" s="10" t="s">
        <v>30</v>
      </c>
      <c r="H51" s="19">
        <f>AVERAGE(('portarias-publicadas-pela-reito'!E12),('divulgacoes-do-ifmg'!E12),('certificados-e-declaracoes-parc'!E12),('quantitativo-de-estudantes-com-'!E12),('quantitativo-de-discentes-e-doc'!E12),('matriculas-iniciais-nos-cursos-'!E12),('chamados-de-suporte'!E12),('link-internet'!E12),('disciplinas-dos-cursos-tecnicos'!E12),('disciplinas-dos-cursos-de-grdua'!E12),('candidatos-e-vagas-graducacao'!E12),(cursos_mestrado_2024!E12),(pos_graduacao_lato_sensu!E12),('cursos-de-graduacao-ofertados'!E12),('cursos-tecnicos-ofertados'!E12),('denuncias-apuradas-pela-correge'!E12),('dados-abertos-extensao-convenio'!E12),('dados-abertos-projetos-extensao'!E12),('candidatos-e-vagas-tecnico'!E12),('afastamentos-do-pais-dos-2024'!E12),('afastamentos-do-pais-dos-2023'!E12))</f>
        <v>5</v>
      </c>
    </row>
    <row r="52" spans="7:8" ht="25.5" x14ac:dyDescent="0.25">
      <c r="G52" s="10" t="s">
        <v>32</v>
      </c>
      <c r="H52" s="19">
        <f>AVERAGE(('portarias-publicadas-pela-reito'!E13),('divulgacoes-do-ifmg'!E13),('certificados-e-declaracoes-parc'!E13),('quantitativo-de-estudantes-com-'!E13),('quantitativo-de-discentes-e-doc'!E13),('matriculas-iniciais-nos-cursos-'!E13),('chamados-de-suporte'!E13),('link-internet'!E13),('disciplinas-dos-cursos-tecnicos'!E13),('disciplinas-dos-cursos-de-grdua'!E13),('candidatos-e-vagas-graducacao'!E13),(cursos_mestrado_2024!E13),(pos_graduacao_lato_sensu!E13),('cursos-de-graduacao-ofertados'!E13),('cursos-tecnicos-ofertados'!E13),('denuncias-apuradas-pela-correge'!E13),('dados-abertos-extensao-convenio'!E13),('dados-abertos-projetos-extensao'!E13),('candidatos-e-vagas-tecnico'!E13),('afastamentos-do-pais-dos-2024'!E13),('afastamentos-do-pais-dos-2023'!E13))</f>
        <v>4</v>
      </c>
    </row>
    <row r="53" spans="7:8" ht="25.5" x14ac:dyDescent="0.25">
      <c r="G53" s="10" t="s">
        <v>34</v>
      </c>
      <c r="H53" s="19">
        <f>AVERAGE(('portarias-publicadas-pela-reito'!E14),('divulgacoes-do-ifmg'!E14),('certificados-e-declaracoes-parc'!E14),('quantitativo-de-estudantes-com-'!E14),('quantitativo-de-discentes-e-doc'!E14),('matriculas-iniciais-nos-cursos-'!E14),('chamados-de-suporte'!E14),('link-internet'!E14),('disciplinas-dos-cursos-tecnicos'!E14),('disciplinas-dos-cursos-de-grdua'!E14),('candidatos-e-vagas-graducacao'!E14),(cursos_mestrado_2024!E14),(pos_graduacao_lato_sensu!E14),('cursos-de-graduacao-ofertados'!E14),('cursos-tecnicos-ofertados'!E14),('denuncias-apuradas-pela-correge'!E14),('dados-abertos-extensao-convenio'!E14),('dados-abertos-projetos-extensao'!E14),('candidatos-e-vagas-tecnico'!E14),('afastamentos-do-pais-dos-2024'!E14),('afastamentos-do-pais-dos-2023'!E14))</f>
        <v>2</v>
      </c>
    </row>
    <row r="54" spans="7:8" x14ac:dyDescent="0.25">
      <c r="G54" s="10" t="s">
        <v>37</v>
      </c>
      <c r="H54" s="19">
        <f>AVERAGE(('portarias-publicadas-pela-reito'!E15),('divulgacoes-do-ifmg'!E15),('certificados-e-declaracoes-parc'!E15),('quantitativo-de-estudantes-com-'!E15),('quantitativo-de-discentes-e-doc'!E15),('matriculas-iniciais-nos-cursos-'!E15),('chamados-de-suporte'!E15),('link-internet'!E15),('disciplinas-dos-cursos-tecnicos'!E15),('disciplinas-dos-cursos-de-grdua'!E15),('candidatos-e-vagas-graducacao'!E15),(cursos_mestrado_2024!E15),(pos_graduacao_lato_sensu!E15),('cursos-de-graduacao-ofertados'!E15),('cursos-tecnicos-ofertados'!E15),('denuncias-apuradas-pela-correge'!E15),('dados-abertos-extensao-convenio'!E15),('dados-abertos-projetos-extensao'!E15),('candidatos-e-vagas-tecnico'!E15),('afastamentos-do-pais-dos-2024'!E15),('afastamentos-do-pais-dos-2023'!E15))</f>
        <v>2.8571428571428572</v>
      </c>
    </row>
    <row r="55" spans="7:8" x14ac:dyDescent="0.25">
      <c r="G55" s="10" t="s">
        <v>39</v>
      </c>
      <c r="H55" s="19">
        <f>AVERAGE(('portarias-publicadas-pela-reito'!E16),('divulgacoes-do-ifmg'!E16),('certificados-e-declaracoes-parc'!E16),('quantitativo-de-estudantes-com-'!E16),('quantitativo-de-discentes-e-doc'!E16),('matriculas-iniciais-nos-cursos-'!E16),('chamados-de-suporte'!E16),('link-internet'!E16),('disciplinas-dos-cursos-tecnicos'!E16),('disciplinas-dos-cursos-de-grdua'!E16),('candidatos-e-vagas-graducacao'!E16),(cursos_mestrado_2024!E16),(pos_graduacao_lato_sensu!E16),('cursos-de-graduacao-ofertados'!E16),('cursos-tecnicos-ofertados'!E16),('denuncias-apuradas-pela-correge'!E16),('dados-abertos-extensao-convenio'!E16),('dados-abertos-projetos-extensao'!E16),('candidatos-e-vagas-tecnico'!E16),('afastamentos-do-pais-dos-2024'!E16),('afastamentos-do-pais-dos-2023'!E16))</f>
        <v>4.0476190476190474</v>
      </c>
    </row>
    <row r="56" spans="7:8" x14ac:dyDescent="0.25">
      <c r="G56" s="10" t="s">
        <v>41</v>
      </c>
      <c r="H56" s="19">
        <f>AVERAGE(('portarias-publicadas-pela-reito'!E17),('divulgacoes-do-ifmg'!E17),('certificados-e-declaracoes-parc'!E17),('quantitativo-de-estudantes-com-'!E17),('quantitativo-de-discentes-e-doc'!E17),('matriculas-iniciais-nos-cursos-'!E17),('chamados-de-suporte'!E17),('link-internet'!E17),('disciplinas-dos-cursos-tecnicos'!E17),('disciplinas-dos-cursos-de-grdua'!E17),('candidatos-e-vagas-graducacao'!E17),(cursos_mestrado_2024!E17),(pos_graduacao_lato_sensu!E17),('cursos-de-graduacao-ofertados'!E17),('cursos-tecnicos-ofertados'!E17),('denuncias-apuradas-pela-correge'!E17),('dados-abertos-extensao-convenio'!E17),('dados-abertos-projetos-extensao'!E17),('candidatos-e-vagas-tecnico'!E17),('afastamentos-do-pais-dos-2024'!E17),('afastamentos-do-pais-dos-2023'!E17))</f>
        <v>2.9523809523809526</v>
      </c>
    </row>
    <row r="57" spans="7:8" x14ac:dyDescent="0.25">
      <c r="G57" s="10" t="s">
        <v>43</v>
      </c>
      <c r="H57" s="19">
        <f>AVERAGE(('portarias-publicadas-pela-reito'!E18),('divulgacoes-do-ifmg'!E18),('certificados-e-declaracoes-parc'!E18),('quantitativo-de-estudantes-com-'!E18),('quantitativo-de-discentes-e-doc'!E18),('matriculas-iniciais-nos-cursos-'!E18),('chamados-de-suporte'!E18),('link-internet'!E18),('disciplinas-dos-cursos-tecnicos'!E18),('disciplinas-dos-cursos-de-grdua'!E18),('candidatos-e-vagas-graducacao'!E18),(cursos_mestrado_2024!E18),(pos_graduacao_lato_sensu!E18),('cursos-de-graduacao-ofertados'!E18),('cursos-tecnicos-ofertados'!E18),('denuncias-apuradas-pela-correge'!E18),('dados-abertos-extensao-convenio'!E18),('dados-abertos-projetos-extensao'!E18),('candidatos-e-vagas-tecnico'!E18),('afastamentos-do-pais-dos-2024'!E18),('afastamentos-do-pais-dos-2023'!E18))</f>
        <v>4</v>
      </c>
    </row>
    <row r="58" spans="7:8" x14ac:dyDescent="0.25">
      <c r="G58" s="10" t="s">
        <v>45</v>
      </c>
      <c r="H58" s="19">
        <f>AVERAGE(('portarias-publicadas-pela-reito'!E19),('divulgacoes-do-ifmg'!E19),('certificados-e-declaracoes-parc'!E19),('quantitativo-de-estudantes-com-'!E19),('quantitativo-de-discentes-e-doc'!E19),('matriculas-iniciais-nos-cursos-'!E19),('chamados-de-suporte'!E19),('link-internet'!E19),('disciplinas-dos-cursos-tecnicos'!E19),('disciplinas-dos-cursos-de-grdua'!E19),('candidatos-e-vagas-graducacao'!E19),(cursos_mestrado_2024!E19),(pos_graduacao_lato_sensu!E19),('cursos-de-graduacao-ofertados'!E19),('cursos-tecnicos-ofertados'!E19),('denuncias-apuradas-pela-correge'!E19),('dados-abertos-extensao-convenio'!E19),('dados-abertos-projetos-extensao'!E19),('candidatos-e-vagas-tecnico'!E19),('afastamentos-do-pais-dos-2024'!E19),('afastamentos-do-pais-dos-2023'!E19))</f>
        <v>3.0952380952380953</v>
      </c>
    </row>
    <row r="59" spans="7:8" x14ac:dyDescent="0.25">
      <c r="G59" s="10" t="s">
        <v>47</v>
      </c>
      <c r="H59" s="19">
        <f>AVERAGE(('portarias-publicadas-pela-reito'!E20),('divulgacoes-do-ifmg'!E20),('certificados-e-declaracoes-parc'!E20),('quantitativo-de-estudantes-com-'!E20),('quantitativo-de-discentes-e-doc'!E20),('matriculas-iniciais-nos-cursos-'!E20),('chamados-de-suporte'!E20),('link-internet'!E20),('disciplinas-dos-cursos-tecnicos'!E20),('disciplinas-dos-cursos-de-grdua'!E20),('candidatos-e-vagas-graducacao'!E20),(cursos_mestrado_2024!E20),(pos_graduacao_lato_sensu!E20),('cursos-de-graduacao-ofertados'!E20),('cursos-tecnicos-ofertados'!E20),('denuncias-apuradas-pela-correge'!E20),('dados-abertos-extensao-convenio'!E20),('dados-abertos-projetos-extensao'!E20),('candidatos-e-vagas-tecnico'!E20),('afastamentos-do-pais-dos-2024'!E20),('afastamentos-do-pais-dos-2023'!E20))</f>
        <v>4.4761904761904763</v>
      </c>
    </row>
    <row r="60" spans="7:8" x14ac:dyDescent="0.25">
      <c r="G60" s="10" t="s">
        <v>49</v>
      </c>
      <c r="H60" s="19">
        <f>AVERAGE(('portarias-publicadas-pela-reito'!E21),('divulgacoes-do-ifmg'!E21),('certificados-e-declaracoes-parc'!E21),('quantitativo-de-estudantes-com-'!E21),('quantitativo-de-discentes-e-doc'!E21),('matriculas-iniciais-nos-cursos-'!E21),('chamados-de-suporte'!E21),('link-internet'!E21),('disciplinas-dos-cursos-tecnicos'!E21),('disciplinas-dos-cursos-de-grdua'!E21),('candidatos-e-vagas-graducacao'!E21),(cursos_mestrado_2024!E21),(pos_graduacao_lato_sensu!E21),('cursos-de-graduacao-ofertados'!E21),('cursos-tecnicos-ofertados'!E21),('denuncias-apuradas-pela-correge'!E21),('dados-abertos-extensao-convenio'!E21),('dados-abertos-projetos-extensao'!E21),('candidatos-e-vagas-tecnico'!E21),('afastamentos-do-pais-dos-2024'!E21),('afastamentos-do-pais-dos-2023'!E21))</f>
        <v>5</v>
      </c>
    </row>
    <row r="61" spans="7:8" ht="25.5" x14ac:dyDescent="0.25">
      <c r="G61" s="10" t="s">
        <v>52</v>
      </c>
      <c r="H61" s="19">
        <f>AVERAGE(('portarias-publicadas-pela-reito'!E22),('divulgacoes-do-ifmg'!E22),('certificados-e-declaracoes-parc'!E22),('quantitativo-de-estudantes-com-'!E22),('quantitativo-de-discentes-e-doc'!E22),('matriculas-iniciais-nos-cursos-'!E22),('chamados-de-suporte'!E22),('link-internet'!E22),('disciplinas-dos-cursos-tecnicos'!E22),('disciplinas-dos-cursos-de-grdua'!E22),('candidatos-e-vagas-graducacao'!E22),(cursos_mestrado_2024!E22),(pos_graduacao_lato_sensu!E22),('cursos-de-graduacao-ofertados'!E22),('cursos-tecnicos-ofertados'!E22),('denuncias-apuradas-pela-correge'!E22),('dados-abertos-extensao-convenio'!E22),('dados-abertos-projetos-extensao'!E22),('candidatos-e-vagas-tecnico'!E22),('afastamentos-do-pais-dos-2024'!E22),('afastamentos-do-pais-dos-2023'!E22))</f>
        <v>1</v>
      </c>
    </row>
    <row r="62" spans="7:8" ht="38.25" x14ac:dyDescent="0.25">
      <c r="G62" s="10" t="s">
        <v>54</v>
      </c>
      <c r="H62" s="19">
        <f>AVERAGE(('portarias-publicadas-pela-reito'!E23),('divulgacoes-do-ifmg'!E23),('certificados-e-declaracoes-parc'!E23),('quantitativo-de-estudantes-com-'!E23),('quantitativo-de-discentes-e-doc'!E23),('matriculas-iniciais-nos-cursos-'!E23),('chamados-de-suporte'!E23),('link-internet'!E23),('disciplinas-dos-cursos-tecnicos'!E23),('disciplinas-dos-cursos-de-grdua'!E23),('candidatos-e-vagas-graducacao'!E23),(cursos_mestrado_2024!E23),(pos_graduacao_lato_sensu!E23),('cursos-de-graduacao-ofertados'!E23),('cursos-tecnicos-ofertados'!E23),('denuncias-apuradas-pela-correge'!E23),('dados-abertos-extensao-convenio'!E23),('dados-abertos-projetos-extensao'!E23),('candidatos-e-vagas-tecnico'!E23),('afastamentos-do-pais-dos-2024'!E23),('afastamentos-do-pais-dos-2023'!E23))</f>
        <v>2.0476190476190474</v>
      </c>
    </row>
    <row r="63" spans="7:8" ht="25.5" x14ac:dyDescent="0.25">
      <c r="G63" s="10" t="s">
        <v>56</v>
      </c>
      <c r="H63" s="19">
        <f>AVERAGE(('portarias-publicadas-pela-reito'!E24),('divulgacoes-do-ifmg'!E24),('certificados-e-declaracoes-parc'!E24),('quantitativo-de-estudantes-com-'!E24),('quantitativo-de-discentes-e-doc'!E24),('matriculas-iniciais-nos-cursos-'!E24),('chamados-de-suporte'!E24),('link-internet'!E24),('disciplinas-dos-cursos-tecnicos'!E24),('disciplinas-dos-cursos-de-grdua'!E24),('candidatos-e-vagas-graducacao'!E24),(cursos_mestrado_2024!E24),(pos_graduacao_lato_sensu!E24),('cursos-de-graduacao-ofertados'!E24),('cursos-tecnicos-ofertados'!E24),('denuncias-apuradas-pela-correge'!E24),('dados-abertos-extensao-convenio'!E24),('dados-abertos-projetos-extensao'!E24),('candidatos-e-vagas-tecnico'!E24),('afastamentos-do-pais-dos-2024'!E24),('afastamentos-do-pais-dos-2023'!E24))</f>
        <v>3</v>
      </c>
    </row>
    <row r="64" spans="7:8" ht="38.25" x14ac:dyDescent="0.25">
      <c r="G64" s="10" t="s">
        <v>59</v>
      </c>
      <c r="H64" s="19">
        <f>AVERAGE(('portarias-publicadas-pela-reito'!E25),('divulgacoes-do-ifmg'!E25),('certificados-e-declaracoes-parc'!E25),('quantitativo-de-estudantes-com-'!E25),('quantitativo-de-discentes-e-doc'!E25),('matriculas-iniciais-nos-cursos-'!E25),('chamados-de-suporte'!E25),('link-internet'!E25),('disciplinas-dos-cursos-tecnicos'!E25),('disciplinas-dos-cursos-de-grdua'!E25),('candidatos-e-vagas-graducacao'!E25),(cursos_mestrado_2024!E25),(pos_graduacao_lato_sensu!E25),('cursos-de-graduacao-ofertados'!E25),('cursos-tecnicos-ofertados'!E25),('denuncias-apuradas-pela-correge'!E25),('dados-abertos-extensao-convenio'!E25),('dados-abertos-projetos-extensao'!E25),('candidatos-e-vagas-tecnico'!E25),('afastamentos-do-pais-dos-2024'!E25),('afastamentos-do-pais-dos-2023'!E25))</f>
        <v>1</v>
      </c>
    </row>
    <row r="65" spans="7:8" ht="38.25" x14ac:dyDescent="0.25">
      <c r="G65" s="10" t="s">
        <v>61</v>
      </c>
      <c r="H65" s="19">
        <f>AVERAGE(('portarias-publicadas-pela-reito'!E26),('divulgacoes-do-ifmg'!E26),('certificados-e-declaracoes-parc'!E26),('quantitativo-de-estudantes-com-'!E26),('quantitativo-de-discentes-e-doc'!E26),('matriculas-iniciais-nos-cursos-'!E26),('chamados-de-suporte'!E26),('link-internet'!E26),('disciplinas-dos-cursos-tecnicos'!E26),('disciplinas-dos-cursos-de-grdua'!E26),('candidatos-e-vagas-graducacao'!E26),(cursos_mestrado_2024!E26),(pos_graduacao_lato_sensu!E26),('cursos-de-graduacao-ofertados'!E26),('cursos-tecnicos-ofertados'!E26),('denuncias-apuradas-pela-correge'!E26),('dados-abertos-extensao-convenio'!E26),('dados-abertos-projetos-extensao'!E26),('candidatos-e-vagas-tecnico'!E26),('afastamentos-do-pais-dos-2024'!E26),('afastamentos-do-pais-dos-2023'!E26))</f>
        <v>0</v>
      </c>
    </row>
    <row r="66" spans="7:8" ht="38.25" x14ac:dyDescent="0.25">
      <c r="G66" s="10" t="s">
        <v>63</v>
      </c>
      <c r="H66" s="19">
        <f>AVERAGE(('portarias-publicadas-pela-reito'!E27),('divulgacoes-do-ifmg'!E27),('certificados-e-declaracoes-parc'!E27),('quantitativo-de-estudantes-com-'!E27),('quantitativo-de-discentes-e-doc'!E27),('matriculas-iniciais-nos-cursos-'!E27),('chamados-de-suporte'!E27),('link-internet'!E27),('disciplinas-dos-cursos-tecnicos'!E27),('disciplinas-dos-cursos-de-grdua'!E27),('candidatos-e-vagas-graducacao'!E27),(cursos_mestrado_2024!E27),(pos_graduacao_lato_sensu!E27),('cursos-de-graduacao-ofertados'!E27),('cursos-tecnicos-ofertados'!E27),('denuncias-apuradas-pela-correge'!E27),('dados-abertos-extensao-convenio'!E27),('dados-abertos-projetos-extensao'!E27),('candidatos-e-vagas-tecnico'!E27),('afastamentos-do-pais-dos-2024'!E27),('afastamentos-do-pais-dos-2023'!E27))</f>
        <v>0</v>
      </c>
    </row>
    <row r="67" spans="7:8" ht="38.25" x14ac:dyDescent="0.25">
      <c r="G67" s="10" t="s">
        <v>65</v>
      </c>
      <c r="H67" s="19">
        <f>AVERAGE(('portarias-publicadas-pela-reito'!E28),('divulgacoes-do-ifmg'!E28),('certificados-e-declaracoes-parc'!E28),('quantitativo-de-estudantes-com-'!E28),('quantitativo-de-discentes-e-doc'!E28),('matriculas-iniciais-nos-cursos-'!E28),('chamados-de-suporte'!E28),('link-internet'!E28),('disciplinas-dos-cursos-tecnicos'!E28),('disciplinas-dos-cursos-de-grdua'!E28),('candidatos-e-vagas-graducacao'!E28),(cursos_mestrado_2024!E28),(pos_graduacao_lato_sensu!E28),('cursos-de-graduacao-ofertados'!E28),('cursos-tecnicos-ofertados'!E28),('denuncias-apuradas-pela-correge'!E28),('dados-abertos-extensao-convenio'!E28),('dados-abertos-projetos-extensao'!E28),('candidatos-e-vagas-tecnico'!E28),('afastamentos-do-pais-dos-2024'!E28),('afastamentos-do-pais-dos-2023'!E28))</f>
        <v>0</v>
      </c>
    </row>
    <row r="68" spans="7:8" ht="25.5" x14ac:dyDescent="0.25">
      <c r="G68" s="10" t="s">
        <v>68</v>
      </c>
      <c r="H68" s="19">
        <f>AVERAGE(('portarias-publicadas-pela-reito'!E29),('divulgacoes-do-ifmg'!E29),('certificados-e-declaracoes-parc'!E29),('quantitativo-de-estudantes-com-'!E29),('quantitativo-de-discentes-e-doc'!E29),('matriculas-iniciais-nos-cursos-'!E29),('chamados-de-suporte'!E29),('link-internet'!E29),('disciplinas-dos-cursos-tecnicos'!E29),('disciplinas-dos-cursos-de-grdua'!E29),('candidatos-e-vagas-graducacao'!E29),(cursos_mestrado_2024!E29),(pos_graduacao_lato_sensu!E29),('cursos-de-graduacao-ofertados'!E29),('cursos-tecnicos-ofertados'!E29),('denuncias-apuradas-pela-correge'!E29),('dados-abertos-extensao-convenio'!E29),('dados-abertos-projetos-extensao'!E29),('candidatos-e-vagas-tecnico'!E29),('afastamentos-do-pais-dos-2024'!E29),('afastamentos-do-pais-dos-2023'!E29))</f>
        <v>0</v>
      </c>
    </row>
  </sheetData>
  <mergeCells count="3">
    <mergeCell ref="A29:F29"/>
    <mergeCell ref="A30:F30"/>
    <mergeCell ref="B40:D40"/>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22</vt:i4>
      </vt:variant>
    </vt:vector>
  </HeadingPairs>
  <TitlesOfParts>
    <vt:vector size="22" baseType="lpstr">
      <vt:lpstr>afastamentos-do-pais-dos-2023</vt:lpstr>
      <vt:lpstr>afastamentos-do-pais-dos-2024</vt:lpstr>
      <vt:lpstr>candidatos-e-vagas-tecnico</vt:lpstr>
      <vt:lpstr>dados-abertos-projetos-extensao</vt:lpstr>
      <vt:lpstr>dados-abertos-extensao-convenio</vt:lpstr>
      <vt:lpstr>denuncias-apuradas-pela-correge</vt:lpstr>
      <vt:lpstr>cursos-tecnicos-ofertados</vt:lpstr>
      <vt:lpstr>cursos-de-graduacao-ofertados</vt:lpstr>
      <vt:lpstr>pos_graduacao_lato_sensu</vt:lpstr>
      <vt:lpstr>cursos_mestrado_2024</vt:lpstr>
      <vt:lpstr>candidatos-e-vagas-graducacao</vt:lpstr>
      <vt:lpstr>disciplinas-dos-cursos-de-grdua</vt:lpstr>
      <vt:lpstr>disciplinas-dos-cursos-tecnicos</vt:lpstr>
      <vt:lpstr>link-internet</vt:lpstr>
      <vt:lpstr>chamados-de-suporte</vt:lpstr>
      <vt:lpstr>matriculas-iniciais-nos-cursos-</vt:lpstr>
      <vt:lpstr>quantitativo-de-discentes-e-doc</vt:lpstr>
      <vt:lpstr>quantitativo-de-estudantes-com-</vt:lpstr>
      <vt:lpstr>certificados-e-declaracoes-parc</vt:lpstr>
      <vt:lpstr>divulgacoes-do-ifmg</vt:lpstr>
      <vt:lpstr>portarias-publicadas-pela-reito</vt:lpstr>
      <vt:lpstr>ResultadoFinal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Renato Machado de Godoy</cp:lastModifiedBy>
  <dcterms:created xsi:type="dcterms:W3CDTF">2025-11-06T16:44:33Z</dcterms:created>
  <dcterms:modified xsi:type="dcterms:W3CDTF">2025-11-22T01:48:06Z</dcterms:modified>
</cp:coreProperties>
</file>